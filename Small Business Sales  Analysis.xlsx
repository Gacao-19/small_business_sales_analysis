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a27d208b0e3bcc18/Documents/"/>
    </mc:Choice>
  </mc:AlternateContent>
  <xr:revisionPtr revIDLastSave="394" documentId="8_{E526F4B0-C409-4667-9925-72A8E77CEE4C}" xr6:coauthVersionLast="47" xr6:coauthVersionMax="47" xr10:uidLastSave="{63F1ABA4-1F76-4555-9195-0A7622DC482D}"/>
  <bookViews>
    <workbookView xWindow="-120" yWindow="-120" windowWidth="20730" windowHeight="11160" activeTab="10" xr2:uid="{020038E0-D617-40BD-83AC-2CA268ED56FA}"/>
  </bookViews>
  <sheets>
    <sheet name="raw_data" sheetId="1" r:id="rId1"/>
    <sheet name="clear data" sheetId="3" state="hidden" r:id="rId2"/>
    <sheet name="pivot_table" sheetId="9" state="hidden" r:id="rId3"/>
    <sheet name="merged column" sheetId="8" state="hidden" r:id="rId4"/>
    <sheet name="product_cost" sheetId="5" r:id="rId5"/>
    <sheet name="raw_data 2" sheetId="10" state="hidden" r:id="rId6"/>
    <sheet name="Table (3)" sheetId="11" state="hidden" r:id="rId7"/>
    <sheet name="Append1" sheetId="12" state="hidden" r:id="rId8"/>
    <sheet name="cleaned_data" sheetId="13" r:id="rId9"/>
    <sheet name="analysis" sheetId="16" r:id="rId10"/>
    <sheet name="Final report" sheetId="17" r:id="rId11"/>
  </sheets>
  <definedNames>
    <definedName name="ExternalData_1" localSheetId="1" hidden="1">'clear data'!$C$3:$K$28</definedName>
    <definedName name="ExternalData_1" localSheetId="6" hidden="1">'Table (3)'!$A$1:$I$11</definedName>
    <definedName name="ExternalData_2" localSheetId="7" hidden="1">Append1!$A$1:$I$36</definedName>
    <definedName name="ExternalData_2" localSheetId="3" hidden="1">'merged column'!$A$1:$K$26</definedName>
    <definedName name="ExternalData_3" localSheetId="8" hidden="1">cleaned_data!$A$1:$K$36</definedName>
  </definedNames>
  <calcPr calcId="191029"/>
  <pivotCaches>
    <pivotCache cacheId="0" r:id="rId12"/>
    <pivotCache cacheId="1"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2" i="13" l="1"/>
  <c r="O3" i="13"/>
  <c r="O4" i="13"/>
  <c r="O5" i="13"/>
  <c r="O6" i="13"/>
  <c r="O7" i="13"/>
  <c r="O8" i="13"/>
  <c r="O9" i="13"/>
  <c r="O10" i="13"/>
  <c r="O11" i="13"/>
  <c r="O12" i="13"/>
  <c r="O13" i="13"/>
  <c r="O14" i="13"/>
  <c r="O15" i="13"/>
  <c r="O16" i="13"/>
  <c r="O17" i="13"/>
  <c r="O18" i="13"/>
  <c r="O19" i="13"/>
  <c r="O20" i="13"/>
  <c r="O21" i="13"/>
  <c r="O22" i="13"/>
  <c r="O23" i="13"/>
  <c r="O24" i="13"/>
  <c r="O25" i="13"/>
  <c r="O26" i="13"/>
  <c r="O27" i="13"/>
  <c r="O28" i="13"/>
  <c r="O29" i="13"/>
  <c r="O30" i="13"/>
  <c r="O31" i="13"/>
  <c r="O32" i="13"/>
  <c r="O33" i="13"/>
  <c r="O34" i="13"/>
  <c r="O35" i="13"/>
  <c r="O36" i="13"/>
  <c r="N2" i="13"/>
  <c r="N3" i="13"/>
  <c r="N4" i="13"/>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M2" i="13"/>
  <c r="M3" i="1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L2" i="13"/>
  <c r="L3" i="13"/>
  <c r="L4" i="13"/>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O2" i="8"/>
  <c r="O3" i="8"/>
  <c r="O4" i="8"/>
  <c r="O5" i="8"/>
  <c r="O6" i="8"/>
  <c r="O7" i="8"/>
  <c r="O8" i="8"/>
  <c r="O9" i="8"/>
  <c r="O10" i="8"/>
  <c r="O11" i="8"/>
  <c r="O12" i="8"/>
  <c r="O13" i="8"/>
  <c r="O14" i="8"/>
  <c r="O15" i="8"/>
  <c r="O16" i="8"/>
  <c r="O17" i="8"/>
  <c r="O18" i="8"/>
  <c r="O19" i="8"/>
  <c r="O20" i="8"/>
  <c r="O21" i="8"/>
  <c r="O22" i="8"/>
  <c r="O23" i="8"/>
  <c r="O24" i="8"/>
  <c r="O25" i="8"/>
  <c r="O26" i="8"/>
  <c r="N5" i="8"/>
  <c r="N9" i="8"/>
  <c r="N13" i="8"/>
  <c r="N17" i="8"/>
  <c r="N21" i="8"/>
  <c r="N25" i="8"/>
  <c r="M2" i="8"/>
  <c r="N2" i="8" s="1"/>
  <c r="M3" i="8"/>
  <c r="N3" i="8" s="1"/>
  <c r="M4" i="8"/>
  <c r="N4" i="8" s="1"/>
  <c r="M5" i="8"/>
  <c r="M6" i="8"/>
  <c r="N6" i="8" s="1"/>
  <c r="M7" i="8"/>
  <c r="N7" i="8" s="1"/>
  <c r="M8" i="8"/>
  <c r="N8" i="8" s="1"/>
  <c r="M9" i="8"/>
  <c r="M10" i="8"/>
  <c r="N10" i="8" s="1"/>
  <c r="M11" i="8"/>
  <c r="N11" i="8" s="1"/>
  <c r="M12" i="8"/>
  <c r="N12" i="8" s="1"/>
  <c r="M13" i="8"/>
  <c r="M14" i="8"/>
  <c r="N14" i="8" s="1"/>
  <c r="M15" i="8"/>
  <c r="N15" i="8" s="1"/>
  <c r="M16" i="8"/>
  <c r="N16" i="8" s="1"/>
  <c r="M17" i="8"/>
  <c r="M18" i="8"/>
  <c r="N18" i="8" s="1"/>
  <c r="M19" i="8"/>
  <c r="N19" i="8" s="1"/>
  <c r="M20" i="8"/>
  <c r="N20" i="8" s="1"/>
  <c r="M21" i="8"/>
  <c r="M22" i="8"/>
  <c r="N22" i="8" s="1"/>
  <c r="M23" i="8"/>
  <c r="N23" i="8" s="1"/>
  <c r="M24" i="8"/>
  <c r="N24" i="8" s="1"/>
  <c r="M25" i="8"/>
  <c r="M26" i="8"/>
  <c r="N26" i="8" s="1"/>
  <c r="L2" i="8"/>
  <c r="L3" i="8"/>
  <c r="L4" i="8"/>
  <c r="L5" i="8"/>
  <c r="L6" i="8"/>
  <c r="L7" i="8"/>
  <c r="L8" i="8"/>
  <c r="L9" i="8"/>
  <c r="L10" i="8"/>
  <c r="L11" i="8"/>
  <c r="L12" i="8"/>
  <c r="L13" i="8"/>
  <c r="L14" i="8"/>
  <c r="L15" i="8"/>
  <c r="L16" i="8"/>
  <c r="L17" i="8"/>
  <c r="L18" i="8"/>
  <c r="L19" i="8"/>
  <c r="L20" i="8"/>
  <c r="L21" i="8"/>
  <c r="L22" i="8"/>
  <c r="L23" i="8"/>
  <c r="L24" i="8"/>
  <c r="L25" i="8"/>
  <c r="L26" i="8"/>
  <c r="L4" i="3"/>
  <c r="L5" i="3"/>
  <c r="L6" i="3"/>
  <c r="L7" i="3"/>
  <c r="L8" i="3"/>
  <c r="L9" i="3"/>
  <c r="L10" i="3"/>
  <c r="L11" i="3"/>
  <c r="L12" i="3"/>
  <c r="L13" i="3"/>
  <c r="L14" i="3"/>
  <c r="L15" i="3"/>
  <c r="L16" i="3"/>
  <c r="L17" i="3"/>
  <c r="L18" i="3"/>
  <c r="L19" i="3"/>
  <c r="L20" i="3"/>
  <c r="L21" i="3"/>
  <c r="L22" i="3"/>
  <c r="L23" i="3"/>
  <c r="L24" i="3"/>
  <c r="L25" i="3"/>
  <c r="L26" i="3"/>
  <c r="L27" i="3"/>
  <c r="L28" i="3"/>
  <c r="E3" i="16"/>
  <c r="E2"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DDDA61-E942-4E31-B18C-A2C6D4B3163B}"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3C218A36-5711-43D3-91F5-328763DCC726}" keepAlive="1" name="Query - Merge1 (2)" description="Connection to the 'Merge1 (2)' query in the workbook." type="5" refreshedVersion="8" background="1" saveData="1">
    <dbPr connection="Provider=Microsoft.Mashup.OleDb.1;Data Source=$Workbook$;Location=&quot;Merge1 (2)&quot;;Extended Properties=&quot;&quot;" command="SELECT * FROM [Merge1 (2)]"/>
  </connection>
  <connection id="3" xr16:uid="{94BC7279-7D13-4DD0-9E3B-FDF97878C7D7}" keepAlive="1" name="Query - Merge1(1)" description="Connection to the 'Merge1' query in the workbook." type="5" refreshedVersion="8" background="1" saveData="1">
    <dbPr connection="Provider=Microsoft.Mashup.OleDb.1;Data Source=$Workbook$;Location=Merge1;Extended Properties=&quot;&quot;" command="SELECT * FROM [Merge1]"/>
  </connection>
  <connection id="4" xr16:uid="{2E64E291-7EA9-420C-9F6C-D4D32E36E1F5}" keepAlive="1" name="Query - Table" description="Connection to the 'Table' query in the workbook." type="5" refreshedVersion="8" background="1" saveData="1">
    <dbPr connection="Provider=Microsoft.Mashup.OleDb.1;Data Source=$Workbook$;Location=Table;Extended Properties=&quot;&quot;" command="SELECT * FROM [Table]"/>
  </connection>
  <connection id="5" xr16:uid="{13BDA758-E009-489E-B477-CFC7E799688A}"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 id="6" xr16:uid="{654235A0-09E8-466F-9366-3799831930DF}" keepAlive="1" name="Query - Table (3)" description="Connection to the 'Table (3)' query in the workbook." type="5" refreshedVersion="8" background="1" saveData="1">
    <dbPr connection="Provider=Microsoft.Mashup.OleDb.1;Data Source=$Workbook$;Location=&quot;Table (3)&quot;;Extended Properties=&quot;&quot;" command="SELECT * FROM [Table (3)]"/>
  </connection>
</connections>
</file>

<file path=xl/sharedStrings.xml><?xml version="1.0" encoding="utf-8"?>
<sst xmlns="http://schemas.openxmlformats.org/spreadsheetml/2006/main" count="1079" uniqueCount="74">
  <si>
    <t>Transaction_ID</t>
  </si>
  <si>
    <t>Date</t>
  </si>
  <si>
    <t>Customer</t>
  </si>
  <si>
    <t>Product</t>
  </si>
  <si>
    <t>Category</t>
  </si>
  <si>
    <t>Quantity</t>
  </si>
  <si>
    <t>Unit_Price</t>
  </si>
  <si>
    <t>Payment_Method</t>
  </si>
  <si>
    <t>Salesperson</t>
  </si>
  <si>
    <t>John Mwangi</t>
  </si>
  <si>
    <t>Laptop Bag</t>
  </si>
  <si>
    <t>Accessories</t>
  </si>
  <si>
    <t>Cash</t>
  </si>
  <si>
    <t>Peter</t>
  </si>
  <si>
    <t>Mary Wanjiku</t>
  </si>
  <si>
    <t>USB Cable</t>
  </si>
  <si>
    <t>accessories</t>
  </si>
  <si>
    <t>M-Pesa</t>
  </si>
  <si>
    <t>Jane</t>
  </si>
  <si>
    <t>John mwangi</t>
  </si>
  <si>
    <t>MPESA</t>
  </si>
  <si>
    <t>David Ochieng</t>
  </si>
  <si>
    <t>Wireless Mouse</t>
  </si>
  <si>
    <t>Electronics</t>
  </si>
  <si>
    <t>Grace Akinyi</t>
  </si>
  <si>
    <t>keyboard</t>
  </si>
  <si>
    <t>Peter Kamau</t>
  </si>
  <si>
    <t>mpesa</t>
  </si>
  <si>
    <t>electronics</t>
  </si>
  <si>
    <t>Keyboard</t>
  </si>
  <si>
    <t>SALES DATA</t>
  </si>
  <si>
    <t>Total sales</t>
  </si>
  <si>
    <t>Row Labels</t>
  </si>
  <si>
    <t>Grand Total</t>
  </si>
  <si>
    <t>Sum of Quantity</t>
  </si>
  <si>
    <t>Cost</t>
  </si>
  <si>
    <t xml:space="preserve"> Ksh1,100 </t>
  </si>
  <si>
    <t xml:space="preserve"> Ksh1,700 </t>
  </si>
  <si>
    <t xml:space="preserve"> Ksh250 </t>
  </si>
  <si>
    <t xml:space="preserve"> Ksh700 </t>
  </si>
  <si>
    <t>Table (2).Column1</t>
  </si>
  <si>
    <t>Table (2).Column2</t>
  </si>
  <si>
    <t>Cost of Goods sold</t>
  </si>
  <si>
    <t>Gross Profit</t>
  </si>
  <si>
    <t>Revenue</t>
  </si>
  <si>
    <t>GP Margin</t>
  </si>
  <si>
    <t>Sum of Revenue</t>
  </si>
  <si>
    <t>Sum of Gross Profit</t>
  </si>
  <si>
    <t>1.USB Cables have the highest gross profit margin at 50%.</t>
  </si>
  <si>
    <t>2.Laptop Bags generate the highest total gross profit despite having the lowest margin.</t>
  </si>
  <si>
    <t>3.USB Cables have the highest sales volume.</t>
  </si>
  <si>
    <r>
      <t>Recommendation:</t>
    </r>
    <r>
      <rPr>
        <sz val="11"/>
        <color theme="1"/>
        <rFont val="Aptos Narrow"/>
        <family val="2"/>
        <scheme val="minor"/>
      </rPr>
      <t xml:space="preserve"> Prioritize USB Cables for additional investment because they combine strong sales volume with the highest gross profit margin, while continuing to stock Laptop Bags because they generate the highest total profit.</t>
    </r>
  </si>
  <si>
    <t>James Otieno</t>
  </si>
  <si>
    <t>USB cable</t>
  </si>
  <si>
    <t>Sarah Wambui</t>
  </si>
  <si>
    <t>Usb Cable</t>
  </si>
  <si>
    <t>Cost of goods sold</t>
  </si>
  <si>
    <t>Gross profit</t>
  </si>
  <si>
    <t>GP margin</t>
  </si>
  <si>
    <t>Sum of Gross profit</t>
  </si>
  <si>
    <t>Jane is the strongest candidate for recognition based on the available sales data, and management should consider her for increased responsibility or a performance incentive.</t>
  </si>
  <si>
    <t>Increase USB Cable inventory because of its high sales volume and strong margin, while maintaining Laptop Bag inventory because it remains the largest contributor to revenue and total gross profit.</t>
  </si>
  <si>
    <t>1st-20th AUGUST 2026</t>
  </si>
  <si>
    <t>Total Revenue</t>
  </si>
  <si>
    <t>Total Gross Profit</t>
  </si>
  <si>
    <t>Top product by volume</t>
  </si>
  <si>
    <t>Top salesperson by GP margin</t>
  </si>
  <si>
    <t>Jane - 44.7%</t>
  </si>
  <si>
    <t>USB Cable - 28 units</t>
  </si>
  <si>
    <t>Key Findings</t>
  </si>
  <si>
    <t>Recommendations</t>
  </si>
  <si>
    <t>SALES PERFORMANCE REPORT</t>
  </si>
  <si>
    <t>Product performance chart</t>
  </si>
  <si>
    <t>Salesperson performance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</si>
</sst>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Ksh&quot;#,##0;[Red]\-&quot;Ksh&quot;#,##0"/>
    <numFmt numFmtId="44" formatCode="_-&quot;Ksh&quot;* #,##0.00_-;\-&quot;Ksh&quot;* #,##0.00_-;_-&quot;Ksh&quot;* &quot;-&quot;??_-;_-@_-"/>
    <numFmt numFmtId="164" formatCode="_-&quot;Ksh&quot;* #,##0_-;\-&quot;Ksh&quot;* #,##0_-;_-&quot;Ksh&quot;* &quot;-&quot;??_-;_-@_-"/>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u val="double"/>
      <sz val="26"/>
      <color theme="3" tint="0.249977111117893"/>
      <name val="Aptos Narrow"/>
      <family val="2"/>
      <scheme val="minor"/>
    </font>
    <font>
      <u val="double"/>
      <sz val="11"/>
      <color theme="1"/>
      <name val="Aptos Narrow"/>
      <family val="2"/>
      <scheme val="minor"/>
    </font>
    <font>
      <b/>
      <sz val="28"/>
      <color theme="3" tint="0.249977111117893"/>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1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9" fontId="0" fillId="0" borderId="0" xfId="2" applyFont="1"/>
    <xf numFmtId="0" fontId="2" fillId="0" borderId="0" xfId="0" applyFont="1" applyAlignment="1">
      <alignment horizontal="left" vertical="center" indent="1"/>
    </xf>
    <xf numFmtId="44" fontId="0" fillId="0" borderId="0" xfId="1" applyFont="1"/>
    <xf numFmtId="44" fontId="0" fillId="0" borderId="0" xfId="0" applyNumberFormat="1"/>
    <xf numFmtId="9" fontId="0" fillId="0" borderId="0" xfId="2" applyFont="1" applyBorder="1"/>
    <xf numFmtId="6" fontId="0" fillId="0" borderId="0" xfId="0" applyNumberFormat="1"/>
    <xf numFmtId="0" fontId="2" fillId="0" borderId="0" xfId="0" applyFont="1"/>
    <xf numFmtId="0" fontId="5"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xf>
    <xf numFmtId="0" fontId="6" fillId="0" borderId="0" xfId="0" applyFont="1"/>
  </cellXfs>
  <cellStyles count="3">
    <cellStyle name="Currency" xfId="1" builtinId="4"/>
    <cellStyle name="Normal" xfId="0" builtinId="0"/>
    <cellStyle name="Percent" xfId="2" builtinId="5"/>
  </cellStyles>
  <dxfs count="49">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_-&quot;Ksh&quot;* #,##0_-;\-&quot;Ksh&quot;* #,##0_-;_-&quot;Ksh&quot;* &quot;-&quot;??_-;_-@_-"/>
    </dxf>
    <dxf>
      <numFmt numFmtId="34" formatCode="_-&quot;Ksh&quot;* #,##0.00_-;\-&quot;Ksh&quot;* #,##0.00_-;_-&quot;Ksh&quot;* &quot;-&quot;??_-;_-@_-"/>
    </dxf>
    <dxf>
      <numFmt numFmtId="164" formatCode="_-&quot;Ksh&quot;* #,##0_-;\-&quot;Ksh&quot;* #,##0_-;_-&quot;Ksh&quot;* &quot;-&quot;??_-;_-@_-"/>
    </dxf>
    <dxf>
      <numFmt numFmtId="0" formatCode="General"/>
    </dxf>
    <dxf>
      <numFmt numFmtId="0" formatCode="General"/>
    </dxf>
    <dxf>
      <numFmt numFmtId="0" formatCode="General"/>
    </dxf>
    <dxf>
      <numFmt numFmtId="164" formatCode="_-&quot;Ksh&quot;* #,##0_-;\-&quot;Ksh&quot;* #,##0_-;_-&quot;Ksh&quot;* &quot;-&quot;??_-;_-@_-"/>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Aptos Narrow"/>
        <family val="2"/>
        <scheme val="minor"/>
      </font>
      <numFmt numFmtId="164" formatCode="_-&quot;Ksh&quot;* #,##0_-;\-&quot;Ksh&quot;* #,##0_-;_-&quot;Ksh&quot;* &quot;-&quot;??_-;_-@_-"/>
    </dxf>
    <dxf>
      <numFmt numFmtId="164" formatCode="_-&quot;Ksh&quot;* #,##0_-;\-&quot;Ksh&quot;* #,##0_-;_-&quot;Ksh&quot;* &quot;-&quot;??_-;_-@_-"/>
    </dxf>
    <dxf>
      <numFmt numFmtId="164" formatCode="_-&quot;Ksh&quot;* #,##0_-;\-&quot;Ksh&quot;* #,##0_-;_-&quot;Ksh&quot;* &quot;-&quot;??_-;_-@_-"/>
    </dxf>
    <dxf>
      <numFmt numFmtId="164" formatCode="_-&quot;Ksh&quot;* #,##0_-;\-&quot;Ksh&quot;* #,##0_-;_-&quot;Ksh&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_-&quot;Ksh&quot;* #,##0_-;\-&quot;Ksh&quot;* #,##0_-;_-&quot;Ksh&quot;* &quot;-&quot;??_-;_-@_-"/>
    </dxf>
    <dxf>
      <numFmt numFmtId="0" formatCode="General"/>
    </dxf>
    <dxf>
      <numFmt numFmtId="0" formatCode="General"/>
    </dxf>
    <dxf>
      <numFmt numFmtId="164" formatCode="_-&quot;Ksh&quot;* #,##0_-;\-&quot;Ksh&quot;* #,##0_-;_-&quot;Ksh&quot;* &quot;-&quot;??_-;_-@_-"/>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Clean up and report.xlsx]pivot_table!PivotTable3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sz="1400" b="0" i="0" u="none" strike="noStrike" baseline="0"/>
              <a:t>Revenue vs Gross Profit by Product</a:t>
            </a:r>
            <a:endParaRPr lang="en-US"/>
          </a:p>
        </c:rich>
      </c:tx>
      <c:layout>
        <c:manualLayout>
          <c:xMode val="edge"/>
          <c:yMode val="edge"/>
          <c:x val="0.17402096622911803"/>
          <c:y val="3.05291082512727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Quantity</c:v>
                </c:pt>
              </c:strCache>
            </c:strRef>
          </c:tx>
          <c:spPr>
            <a:solidFill>
              <a:schemeClr val="accent2"/>
            </a:solidFill>
            <a:ln>
              <a:noFill/>
            </a:ln>
            <a:effectLst/>
          </c:spPr>
          <c:invertIfNegative val="0"/>
          <c:cat>
            <c:strRef>
              <c:f>pivot_table!$A$4:$A$8</c:f>
              <c:strCache>
                <c:ptCount val="4"/>
                <c:pt idx="0">
                  <c:v>Keyboard</c:v>
                </c:pt>
                <c:pt idx="1">
                  <c:v>Laptop Bag</c:v>
                </c:pt>
                <c:pt idx="2">
                  <c:v>USB Cable</c:v>
                </c:pt>
                <c:pt idx="3">
                  <c:v>Wireless Mouse</c:v>
                </c:pt>
              </c:strCache>
            </c:strRef>
          </c:cat>
          <c:val>
            <c:numRef>
              <c:f>pivot_table!$B$4:$B$8</c:f>
              <c:numCache>
                <c:formatCode>General</c:formatCode>
                <c:ptCount val="4"/>
                <c:pt idx="0">
                  <c:v>7</c:v>
                </c:pt>
                <c:pt idx="1">
                  <c:v>10</c:v>
                </c:pt>
                <c:pt idx="2">
                  <c:v>28</c:v>
                </c:pt>
                <c:pt idx="3">
                  <c:v>11</c:v>
                </c:pt>
              </c:numCache>
            </c:numRef>
          </c:val>
          <c:extLst>
            <c:ext xmlns:c16="http://schemas.microsoft.com/office/drawing/2014/chart" uri="{C3380CC4-5D6E-409C-BE32-E72D297353CC}">
              <c16:uniqueId val="{00000000-BA01-4F4E-8DDB-B067EA7BD1BA}"/>
            </c:ext>
          </c:extLst>
        </c:ser>
        <c:ser>
          <c:idx val="1"/>
          <c:order val="1"/>
          <c:tx>
            <c:strRef>
              <c:f>pivot_table!$C$3</c:f>
              <c:strCache>
                <c:ptCount val="1"/>
                <c:pt idx="0">
                  <c:v>Sum of Revenue</c:v>
                </c:pt>
              </c:strCache>
            </c:strRef>
          </c:tx>
          <c:spPr>
            <a:solidFill>
              <a:schemeClr val="accent4"/>
            </a:solidFill>
            <a:ln>
              <a:noFill/>
            </a:ln>
            <a:effectLst/>
          </c:spPr>
          <c:invertIfNegative val="0"/>
          <c:cat>
            <c:strRef>
              <c:f>pivot_table!$A$4:$A$8</c:f>
              <c:strCache>
                <c:ptCount val="4"/>
                <c:pt idx="0">
                  <c:v>Keyboard</c:v>
                </c:pt>
                <c:pt idx="1">
                  <c:v>Laptop Bag</c:v>
                </c:pt>
                <c:pt idx="2">
                  <c:v>USB Cable</c:v>
                </c:pt>
                <c:pt idx="3">
                  <c:v>Wireless Mouse</c:v>
                </c:pt>
              </c:strCache>
            </c:strRef>
          </c:cat>
          <c:val>
            <c:numRef>
              <c:f>pivot_table!$C$4:$C$8</c:f>
              <c:numCache>
                <c:formatCode>_-"Ksh"* #,##0_-;\-"Ksh"* #,##0_-;_-"Ksh"* "-"??_-;_-@_-</c:formatCode>
                <c:ptCount val="4"/>
                <c:pt idx="0">
                  <c:v>12600</c:v>
                </c:pt>
                <c:pt idx="1">
                  <c:v>25000</c:v>
                </c:pt>
                <c:pt idx="2">
                  <c:v>14000</c:v>
                </c:pt>
                <c:pt idx="3">
                  <c:v>13200</c:v>
                </c:pt>
              </c:numCache>
            </c:numRef>
          </c:val>
          <c:extLst>
            <c:ext xmlns:c16="http://schemas.microsoft.com/office/drawing/2014/chart" uri="{C3380CC4-5D6E-409C-BE32-E72D297353CC}">
              <c16:uniqueId val="{00000001-BA01-4F4E-8DDB-B067EA7BD1BA}"/>
            </c:ext>
          </c:extLst>
        </c:ser>
        <c:ser>
          <c:idx val="2"/>
          <c:order val="2"/>
          <c:tx>
            <c:strRef>
              <c:f>pivot_table!$D$3</c:f>
              <c:strCache>
                <c:ptCount val="1"/>
                <c:pt idx="0">
                  <c:v>Sum of Gross Profit</c:v>
                </c:pt>
              </c:strCache>
            </c:strRef>
          </c:tx>
          <c:spPr>
            <a:solidFill>
              <a:schemeClr val="accent6"/>
            </a:solidFill>
            <a:ln>
              <a:noFill/>
            </a:ln>
            <a:effectLst/>
          </c:spPr>
          <c:invertIfNegative val="0"/>
          <c:cat>
            <c:strRef>
              <c:f>pivot_table!$A$4:$A$8</c:f>
              <c:strCache>
                <c:ptCount val="4"/>
                <c:pt idx="0">
                  <c:v>Keyboard</c:v>
                </c:pt>
                <c:pt idx="1">
                  <c:v>Laptop Bag</c:v>
                </c:pt>
                <c:pt idx="2">
                  <c:v>USB Cable</c:v>
                </c:pt>
                <c:pt idx="3">
                  <c:v>Wireless Mouse</c:v>
                </c:pt>
              </c:strCache>
            </c:strRef>
          </c:cat>
          <c:val>
            <c:numRef>
              <c:f>pivot_table!$D$4:$D$8</c:f>
              <c:numCache>
                <c:formatCode>_-"Ksh"* #,##0_-;\-"Ksh"* #,##0_-;_-"Ksh"* "-"??_-;_-@_-</c:formatCode>
                <c:ptCount val="4"/>
                <c:pt idx="0">
                  <c:v>4900</c:v>
                </c:pt>
                <c:pt idx="1">
                  <c:v>8000</c:v>
                </c:pt>
                <c:pt idx="2">
                  <c:v>7000</c:v>
                </c:pt>
                <c:pt idx="3">
                  <c:v>5500</c:v>
                </c:pt>
              </c:numCache>
            </c:numRef>
          </c:val>
          <c:extLst>
            <c:ext xmlns:c16="http://schemas.microsoft.com/office/drawing/2014/chart" uri="{C3380CC4-5D6E-409C-BE32-E72D297353CC}">
              <c16:uniqueId val="{00000004-BA01-4F4E-8DDB-B067EA7BD1BA}"/>
            </c:ext>
          </c:extLst>
        </c:ser>
        <c:dLbls>
          <c:showLegendKey val="0"/>
          <c:showVal val="0"/>
          <c:showCatName val="0"/>
          <c:showSerName val="0"/>
          <c:showPercent val="0"/>
          <c:showBubbleSize val="0"/>
        </c:dLbls>
        <c:gapWidth val="219"/>
        <c:overlap val="-27"/>
        <c:axId val="16023424"/>
        <c:axId val="2574336"/>
      </c:barChart>
      <c:catAx>
        <c:axId val="16023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manualLayout>
              <c:xMode val="edge"/>
              <c:yMode val="edge"/>
              <c:x val="0.3810238407699037"/>
              <c:y val="0.8780726311692150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74336"/>
        <c:crosses val="autoZero"/>
        <c:auto val="1"/>
        <c:lblAlgn val="ctr"/>
        <c:lblOffset val="100"/>
        <c:noMultiLvlLbl val="0"/>
      </c:catAx>
      <c:valAx>
        <c:axId val="2574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Amount(Ksh)</a:t>
                </a:r>
              </a:p>
              <a:p>
                <a:pPr>
                  <a:defRPr/>
                </a:pPr>
                <a:endParaRPr lang="en-US"/>
              </a:p>
            </c:rich>
          </c:tx>
          <c:layout>
            <c:manualLayout>
              <c:xMode val="edge"/>
              <c:yMode val="edge"/>
              <c:x val="1.9444444444444445E-2"/>
              <c:y val="0.379185845155093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023424"/>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 Clean up and report.xlsx]Final report!PivotTable1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Gross Profit per product</a:t>
            </a:r>
          </a:p>
        </c:rich>
      </c:tx>
      <c:layout>
        <c:manualLayout>
          <c:xMode val="edge"/>
          <c:yMode val="edge"/>
          <c:x val="0.22278483928083029"/>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 report'!$C$21</c:f>
              <c:strCache>
                <c:ptCount val="1"/>
                <c:pt idx="0">
                  <c:v>Sum of Revenue</c:v>
                </c:pt>
              </c:strCache>
            </c:strRef>
          </c:tx>
          <c:spPr>
            <a:solidFill>
              <a:schemeClr val="accent1">
                <a:shade val="76000"/>
              </a:schemeClr>
            </a:solidFill>
            <a:ln>
              <a:noFill/>
            </a:ln>
            <a:effectLst/>
          </c:spPr>
          <c:invertIfNegative val="0"/>
          <c:cat>
            <c:strRef>
              <c:f>'Final report'!$B$22:$B$26</c:f>
              <c:strCache>
                <c:ptCount val="4"/>
                <c:pt idx="0">
                  <c:v>Keyboard</c:v>
                </c:pt>
                <c:pt idx="1">
                  <c:v>Laptop Bag</c:v>
                </c:pt>
                <c:pt idx="2">
                  <c:v>USB Cable</c:v>
                </c:pt>
                <c:pt idx="3">
                  <c:v>Wireless Mouse</c:v>
                </c:pt>
              </c:strCache>
            </c:strRef>
          </c:cat>
          <c:val>
            <c:numRef>
              <c:f>'Final report'!$C$22:$C$26</c:f>
              <c:numCache>
                <c:formatCode>_-"Ksh"* #,##0_-;\-"Ksh"* #,##0_-;_-"Ksh"* "-"??_-;_-@_-</c:formatCode>
                <c:ptCount val="4"/>
                <c:pt idx="0">
                  <c:v>19800</c:v>
                </c:pt>
                <c:pt idx="1">
                  <c:v>37500</c:v>
                </c:pt>
                <c:pt idx="2">
                  <c:v>22000</c:v>
                </c:pt>
                <c:pt idx="3">
                  <c:v>16800</c:v>
                </c:pt>
              </c:numCache>
            </c:numRef>
          </c:val>
          <c:extLst>
            <c:ext xmlns:c16="http://schemas.microsoft.com/office/drawing/2014/chart" uri="{C3380CC4-5D6E-409C-BE32-E72D297353CC}">
              <c16:uniqueId val="{00000000-D04A-48AF-9DEA-E26E09CED17A}"/>
            </c:ext>
          </c:extLst>
        </c:ser>
        <c:ser>
          <c:idx val="1"/>
          <c:order val="1"/>
          <c:tx>
            <c:strRef>
              <c:f>'Final report'!$D$21</c:f>
              <c:strCache>
                <c:ptCount val="1"/>
                <c:pt idx="0">
                  <c:v>Sum of Gross profit</c:v>
                </c:pt>
              </c:strCache>
            </c:strRef>
          </c:tx>
          <c:spPr>
            <a:solidFill>
              <a:schemeClr val="accent1">
                <a:tint val="77000"/>
              </a:schemeClr>
            </a:solidFill>
            <a:ln>
              <a:noFill/>
            </a:ln>
            <a:effectLst/>
          </c:spPr>
          <c:invertIfNegative val="0"/>
          <c:cat>
            <c:strRef>
              <c:f>'Final report'!$B$22:$B$26</c:f>
              <c:strCache>
                <c:ptCount val="4"/>
                <c:pt idx="0">
                  <c:v>Keyboard</c:v>
                </c:pt>
                <c:pt idx="1">
                  <c:v>Laptop Bag</c:v>
                </c:pt>
                <c:pt idx="2">
                  <c:v>USB Cable</c:v>
                </c:pt>
                <c:pt idx="3">
                  <c:v>Wireless Mouse</c:v>
                </c:pt>
              </c:strCache>
            </c:strRef>
          </c:cat>
          <c:val>
            <c:numRef>
              <c:f>'Final report'!$D$22:$D$26</c:f>
              <c:numCache>
                <c:formatCode>_-"Ksh"* #,##0_-;\-"Ksh"* #,##0_-;_-"Ksh"* "-"??_-;_-@_-</c:formatCode>
                <c:ptCount val="4"/>
                <c:pt idx="0">
                  <c:v>7700</c:v>
                </c:pt>
                <c:pt idx="1">
                  <c:v>12000</c:v>
                </c:pt>
                <c:pt idx="2">
                  <c:v>11000</c:v>
                </c:pt>
                <c:pt idx="3">
                  <c:v>7000</c:v>
                </c:pt>
              </c:numCache>
            </c:numRef>
          </c:val>
          <c:extLst>
            <c:ext xmlns:c16="http://schemas.microsoft.com/office/drawing/2014/chart" uri="{C3380CC4-5D6E-409C-BE32-E72D297353CC}">
              <c16:uniqueId val="{00000002-D04A-48AF-9DEA-E26E09CED17A}"/>
            </c:ext>
          </c:extLst>
        </c:ser>
        <c:dLbls>
          <c:showLegendKey val="0"/>
          <c:showVal val="0"/>
          <c:showCatName val="0"/>
          <c:showSerName val="0"/>
          <c:showPercent val="0"/>
          <c:showBubbleSize val="0"/>
        </c:dLbls>
        <c:gapWidth val="219"/>
        <c:overlap val="-27"/>
        <c:axId val="772987408"/>
        <c:axId val="755915872"/>
      </c:barChart>
      <c:catAx>
        <c:axId val="772987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manualLayout>
              <c:xMode val="edge"/>
              <c:yMode val="edge"/>
              <c:x val="0.41642555192483938"/>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5915872"/>
        <c:crosses val="autoZero"/>
        <c:auto val="1"/>
        <c:lblAlgn val="ctr"/>
        <c:lblOffset val="100"/>
        <c:noMultiLvlLbl val="0"/>
      </c:catAx>
      <c:valAx>
        <c:axId val="75591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(Ksh)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quot;Ksh&quot;* #,##0_-;\-&quot;Ksh&quot;* #,##0_-;_-&quot;Ksh&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7298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 Clean up and report.xlsx]Final report!PivotTable2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Gross</a:t>
            </a:r>
            <a:r>
              <a:rPr lang="en-US" baseline="0"/>
              <a:t> Profit per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 report'!$C$38</c:f>
              <c:strCache>
                <c:ptCount val="1"/>
                <c:pt idx="0">
                  <c:v>Sum of Revenue</c:v>
                </c:pt>
              </c:strCache>
            </c:strRef>
          </c:tx>
          <c:spPr>
            <a:solidFill>
              <a:schemeClr val="accent1">
                <a:shade val="76000"/>
              </a:schemeClr>
            </a:solidFill>
            <a:ln>
              <a:noFill/>
            </a:ln>
            <a:effectLst/>
          </c:spPr>
          <c:invertIfNegative val="0"/>
          <c:cat>
            <c:strRef>
              <c:f>'Final report'!$B$39:$B$41</c:f>
              <c:strCache>
                <c:ptCount val="2"/>
                <c:pt idx="0">
                  <c:v>Jane</c:v>
                </c:pt>
                <c:pt idx="1">
                  <c:v>Peter</c:v>
                </c:pt>
              </c:strCache>
            </c:strRef>
          </c:cat>
          <c:val>
            <c:numRef>
              <c:f>'Final report'!$C$39:$C$41</c:f>
              <c:numCache>
                <c:formatCode>_-"Ksh"* #,##0_-;\-"Ksh"* #,##0_-;_-"Ksh"* "-"??_-;_-@_-</c:formatCode>
                <c:ptCount val="2"/>
                <c:pt idx="0">
                  <c:v>41800</c:v>
                </c:pt>
                <c:pt idx="1">
                  <c:v>54300</c:v>
                </c:pt>
              </c:numCache>
            </c:numRef>
          </c:val>
          <c:extLst>
            <c:ext xmlns:c16="http://schemas.microsoft.com/office/drawing/2014/chart" uri="{C3380CC4-5D6E-409C-BE32-E72D297353CC}">
              <c16:uniqueId val="{00000000-41CA-4D46-BCAC-9779F01464CE}"/>
            </c:ext>
          </c:extLst>
        </c:ser>
        <c:ser>
          <c:idx val="1"/>
          <c:order val="1"/>
          <c:tx>
            <c:strRef>
              <c:f>'Final report'!$D$38</c:f>
              <c:strCache>
                <c:ptCount val="1"/>
                <c:pt idx="0">
                  <c:v>Sum of Gross profit</c:v>
                </c:pt>
              </c:strCache>
            </c:strRef>
          </c:tx>
          <c:spPr>
            <a:solidFill>
              <a:schemeClr val="accent1">
                <a:tint val="77000"/>
              </a:schemeClr>
            </a:solidFill>
            <a:ln>
              <a:noFill/>
            </a:ln>
            <a:effectLst/>
          </c:spPr>
          <c:invertIfNegative val="0"/>
          <c:cat>
            <c:strRef>
              <c:f>'Final report'!$B$39:$B$41</c:f>
              <c:strCache>
                <c:ptCount val="2"/>
                <c:pt idx="0">
                  <c:v>Jane</c:v>
                </c:pt>
                <c:pt idx="1">
                  <c:v>Peter</c:v>
                </c:pt>
              </c:strCache>
            </c:strRef>
          </c:cat>
          <c:val>
            <c:numRef>
              <c:f>'Final report'!$D$39:$D$41</c:f>
              <c:numCache>
                <c:formatCode>_-"Ksh"* #,##0_-;\-"Ksh"* #,##0_-;_-"Ksh"* "-"??_-;_-@_-</c:formatCode>
                <c:ptCount val="2"/>
                <c:pt idx="0">
                  <c:v>18700</c:v>
                </c:pt>
                <c:pt idx="1">
                  <c:v>19000</c:v>
                </c:pt>
              </c:numCache>
            </c:numRef>
          </c:val>
          <c:extLst>
            <c:ext xmlns:c16="http://schemas.microsoft.com/office/drawing/2014/chart" uri="{C3380CC4-5D6E-409C-BE32-E72D297353CC}">
              <c16:uniqueId val="{00000003-41CA-4D46-BCAC-9779F01464CE}"/>
            </c:ext>
          </c:extLst>
        </c:ser>
        <c:dLbls>
          <c:showLegendKey val="0"/>
          <c:showVal val="0"/>
          <c:showCatName val="0"/>
          <c:showSerName val="0"/>
          <c:showPercent val="0"/>
          <c:showBubbleSize val="0"/>
        </c:dLbls>
        <c:gapWidth val="219"/>
        <c:overlap val="-27"/>
        <c:axId val="2064503040"/>
        <c:axId val="2067698464"/>
      </c:barChart>
      <c:catAx>
        <c:axId val="206450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Salesperson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67698464"/>
        <c:crosses val="autoZero"/>
        <c:auto val="1"/>
        <c:lblAlgn val="ctr"/>
        <c:lblOffset val="100"/>
        <c:noMultiLvlLbl val="0"/>
      </c:catAx>
      <c:valAx>
        <c:axId val="2067698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r>
                  <a:rPr lang="en-US" baseline="0"/>
                  <a:t> (Ksh)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Ksh&quot;* #,##0_-;\-&quot;Ksh&quot;* #,##0_-;_-&quot;Ksh&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6450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38100</xdr:colOff>
      <xdr:row>8</xdr:row>
      <xdr:rowOff>85725</xdr:rowOff>
    </xdr:from>
    <xdr:to>
      <xdr:col>4</xdr:col>
      <xdr:colOff>266700</xdr:colOff>
      <xdr:row>23</xdr:row>
      <xdr:rowOff>61912</xdr:rowOff>
    </xdr:to>
    <xdr:graphicFrame macro="">
      <xdr:nvGraphicFramePr>
        <xdr:cNvPr id="2" name="Chart 1">
          <a:extLst>
            <a:ext uri="{FF2B5EF4-FFF2-40B4-BE49-F238E27FC236}">
              <a16:creationId xmlns:a16="http://schemas.microsoft.com/office/drawing/2014/main" id="{4DA394B4-A172-CF78-1254-BFA074A67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619125</xdr:colOff>
      <xdr:row>19</xdr:row>
      <xdr:rowOff>176212</xdr:rowOff>
    </xdr:from>
    <xdr:to>
      <xdr:col>13</xdr:col>
      <xdr:colOff>314325</xdr:colOff>
      <xdr:row>34</xdr:row>
      <xdr:rowOff>61912</xdr:rowOff>
    </xdr:to>
    <xdr:graphicFrame macro="">
      <xdr:nvGraphicFramePr>
        <xdr:cNvPr id="2" name="Chart 1">
          <a:extLst>
            <a:ext uri="{FF2B5EF4-FFF2-40B4-BE49-F238E27FC236}">
              <a16:creationId xmlns:a16="http://schemas.microsoft.com/office/drawing/2014/main" id="{E295FFD6-4726-3B67-160B-0B287A74A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35</xdr:row>
      <xdr:rowOff>14287</xdr:rowOff>
    </xdr:from>
    <xdr:to>
      <xdr:col>12</xdr:col>
      <xdr:colOff>495300</xdr:colOff>
      <xdr:row>49</xdr:row>
      <xdr:rowOff>90487</xdr:rowOff>
    </xdr:to>
    <xdr:graphicFrame macro="">
      <xdr:nvGraphicFramePr>
        <xdr:cNvPr id="3" name="Chart 2">
          <a:extLst>
            <a:ext uri="{FF2B5EF4-FFF2-40B4-BE49-F238E27FC236}">
              <a16:creationId xmlns:a16="http://schemas.microsoft.com/office/drawing/2014/main" id="{918D6F2B-23F7-FF3F-C6B2-75212CA24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0.155643634258" createdVersion="8" refreshedVersion="8" minRefreshableVersion="3" recordCount="25" xr:uid="{59AD0CA4-84C6-4A54-ADF8-AF526924C245}">
  <cacheSource type="worksheet">
    <worksheetSource name="Merge1"/>
  </cacheSource>
  <cacheFields count="15">
    <cacheField name="Transaction_ID" numFmtId="0">
      <sharedItems containsSemiMixedTypes="0" containsString="0" containsNumber="1" containsInteger="1" minValue="1001" maxValue="1025"/>
    </cacheField>
    <cacheField name="Date" numFmtId="14">
      <sharedItems containsSemiMixedTypes="0" containsNonDate="0" containsDate="1" containsString="0" minDate="2026-08-01T00:00:00" maxDate="2026-08-16T00:00:00"/>
    </cacheField>
    <cacheField name="Customer" numFmtId="0">
      <sharedItems/>
    </cacheField>
    <cacheField name="Product" numFmtId="0">
      <sharedItems count="4">
        <s v="Laptop Bag"/>
        <s v="USB Cable"/>
        <s v="Keyboard"/>
        <s v="Wireless Mouse"/>
      </sharedItems>
    </cacheField>
    <cacheField name="Category" numFmtId="0">
      <sharedItems/>
    </cacheField>
    <cacheField name="Quantity" numFmtId="0">
      <sharedItems containsSemiMixedTypes="0" containsString="0" containsNumber="1" containsInteger="1" minValue="1" maxValue="6"/>
    </cacheField>
    <cacheField name="Unit_Price" numFmtId="0">
      <sharedItems containsSemiMixedTypes="0" containsString="0" containsNumber="1" containsInteger="1" minValue="500" maxValue="2500"/>
    </cacheField>
    <cacheField name="Payment_Method" numFmtId="0">
      <sharedItems/>
    </cacheField>
    <cacheField name="Salesperson" numFmtId="0">
      <sharedItems/>
    </cacheField>
    <cacheField name="Table (2).Column1" numFmtId="0">
      <sharedItems/>
    </cacheField>
    <cacheField name="Table (2).Column2" numFmtId="0">
      <sharedItems/>
    </cacheField>
    <cacheField name="Cost of Goods sold" numFmtId="164">
      <sharedItems containsSemiMixedTypes="0" containsString="0" containsNumber="1" containsInteger="1" minValue="500" maxValue="3400"/>
    </cacheField>
    <cacheField name="Revenue" numFmtId="164">
      <sharedItems containsSemiMixedTypes="0" containsString="0" containsNumber="1" containsInteger="1" minValue="1000" maxValue="5000"/>
    </cacheField>
    <cacheField name="Gross Profit" numFmtId="164">
      <sharedItems containsSemiMixedTypes="0" containsString="0" containsNumber="1" containsInteger="1" minValue="500" maxValue="1600"/>
    </cacheField>
    <cacheField name="GP Margin" numFmtId="9">
      <sharedItems containsSemiMixedTypes="0" containsString="0" containsNumber="1" minValue="0.32" maxValue="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1.535361111113" createdVersion="8" refreshedVersion="8" minRefreshableVersion="3" recordCount="35" xr:uid="{BEBCF7EC-84D0-43D9-A7D1-ED6D0D858CF4}">
  <cacheSource type="worksheet">
    <worksheetSource name="Merge1_1"/>
  </cacheSource>
  <cacheFields count="15">
    <cacheField name="Transaction_ID" numFmtId="0">
      <sharedItems containsSemiMixedTypes="0" containsString="0" containsNumber="1" containsInteger="1" minValue="1001" maxValue="1035"/>
    </cacheField>
    <cacheField name="Date" numFmtId="14">
      <sharedItems containsSemiMixedTypes="0" containsNonDate="0" containsDate="1" containsString="0" minDate="2026-08-01T00:00:00" maxDate="2026-08-21T00:00:00"/>
    </cacheField>
    <cacheField name="Customer" numFmtId="0">
      <sharedItems/>
    </cacheField>
    <cacheField name="Product" numFmtId="0">
      <sharedItems count="4">
        <s v="Laptop Bag"/>
        <s v="USB Cable"/>
        <s v="Keyboard"/>
        <s v="Wireless Mouse"/>
      </sharedItems>
    </cacheField>
    <cacheField name="Category" numFmtId="0">
      <sharedItems/>
    </cacheField>
    <cacheField name="Quantity" numFmtId="0">
      <sharedItems containsSemiMixedTypes="0" containsString="0" containsNumber="1" containsInteger="1" minValue="1" maxValue="7"/>
    </cacheField>
    <cacheField name="Unit_Price" numFmtId="164">
      <sharedItems containsSemiMixedTypes="0" containsString="0" containsNumber="1" containsInteger="1" minValue="500" maxValue="2500"/>
    </cacheField>
    <cacheField name="Payment_Method" numFmtId="0">
      <sharedItems/>
    </cacheField>
    <cacheField name="Salesperson" numFmtId="0">
      <sharedItems count="2">
        <s v="Peter"/>
        <s v="Jane"/>
      </sharedItems>
    </cacheField>
    <cacheField name="Table (2).Column1" numFmtId="0">
      <sharedItems/>
    </cacheField>
    <cacheField name="Table (2).Column2" numFmtId="44">
      <sharedItems/>
    </cacheField>
    <cacheField name="Revenue" numFmtId="164">
      <sharedItems containsSemiMixedTypes="0" containsString="0" containsNumber="1" containsInteger="1" minValue="1000" maxValue="5400"/>
    </cacheField>
    <cacheField name="Cost of goods sold" numFmtId="44">
      <sharedItems containsSemiMixedTypes="0" containsString="0" containsNumber="1" containsInteger="1" minValue="500" maxValue="3400"/>
    </cacheField>
    <cacheField name="Gross profit" numFmtId="164">
      <sharedItems containsSemiMixedTypes="0" containsString="0" containsNumber="1" containsInteger="1" minValue="500" maxValue="2100"/>
    </cacheField>
    <cacheField name="GP margin" numFmtId="9">
      <sharedItems containsSemiMixedTypes="0" containsString="0" containsNumber="1" minValue="0.32" maxValue="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001"/>
    <d v="2026-08-01T00:00:00"/>
    <s v="John Mwangi"/>
    <x v="0"/>
    <s v="Accessories"/>
    <n v="2"/>
    <n v="2500"/>
    <s v="Cash"/>
    <s v="Peter"/>
    <s v="Laptop Bag"/>
    <s v=" Ksh1,700 "/>
    <n v="3400"/>
    <n v="5000"/>
    <n v="1600"/>
    <n v="0.32"/>
  </r>
  <r>
    <n v="1003"/>
    <d v="2026-08-02T00:00:00"/>
    <s v="John Mwangi"/>
    <x v="0"/>
    <s v="Accessories"/>
    <n v="1"/>
    <n v="2500"/>
    <s v="M-Pesa"/>
    <s v="Peter"/>
    <s v="Laptop Bag"/>
    <s v=" Ksh1,700 "/>
    <n v="1700"/>
    <n v="2500"/>
    <n v="800"/>
    <n v="0.32"/>
  </r>
  <r>
    <n v="1002"/>
    <d v="2026-08-01T00:00:00"/>
    <s v="Mary Wanjiku"/>
    <x v="1"/>
    <s v="Accessories"/>
    <n v="3"/>
    <n v="500"/>
    <s v="M-Pesa"/>
    <s v="Jane"/>
    <s v="USB Cable"/>
    <s v=" Ksh250 "/>
    <n v="750"/>
    <n v="1500"/>
    <n v="750"/>
    <n v="0.5"/>
  </r>
  <r>
    <n v="1006"/>
    <d v="2026-08-04T00:00:00"/>
    <s v="Peter Kamau"/>
    <x v="1"/>
    <s v="Accessories"/>
    <n v="5"/>
    <n v="500"/>
    <s v="M-Pesa"/>
    <s v="Jane"/>
    <s v="USB Cable"/>
    <s v=" Ksh250 "/>
    <n v="1250"/>
    <n v="2500"/>
    <n v="1250"/>
    <n v="0.5"/>
  </r>
  <r>
    <n v="1005"/>
    <d v="2026-08-03T00:00:00"/>
    <s v="Grace Akinyi"/>
    <x v="2"/>
    <s v="Electronics"/>
    <n v="1"/>
    <n v="1800"/>
    <s v="M-Pesa"/>
    <s v="Jane"/>
    <s v="Keyboard"/>
    <s v=" Ksh1,100 "/>
    <n v="1100"/>
    <n v="1800"/>
    <n v="700"/>
    <n v="0.3888888888888889"/>
  </r>
  <r>
    <n v="1004"/>
    <d v="2026-08-03T00:00:00"/>
    <s v="David Ochieng"/>
    <x v="3"/>
    <s v="Electronics"/>
    <n v="2"/>
    <n v="1200"/>
    <s v="Cash"/>
    <s v="Peter"/>
    <s v="Wireless Mouse"/>
    <s v=" Ksh700 "/>
    <n v="1400"/>
    <n v="2400"/>
    <n v="1000"/>
    <n v="0.41666666666666669"/>
  </r>
  <r>
    <n v="1007"/>
    <d v="2026-08-04T00:00:00"/>
    <s v="John Mwangi"/>
    <x v="0"/>
    <s v="Accessories"/>
    <n v="2"/>
    <n v="2500"/>
    <s v="Cash"/>
    <s v="Peter"/>
    <s v="Laptop Bag"/>
    <s v=" Ksh1,700 "/>
    <n v="3400"/>
    <n v="5000"/>
    <n v="1600"/>
    <n v="0.32"/>
  </r>
  <r>
    <n v="1008"/>
    <d v="2026-08-05T00:00:00"/>
    <s v="Mary Wanjiku"/>
    <x v="3"/>
    <s v="Electronics"/>
    <n v="1"/>
    <n v="1200"/>
    <s v="M-Pesa"/>
    <s v="Peter"/>
    <s v="Wireless Mouse"/>
    <s v=" Ksh700 "/>
    <n v="700"/>
    <n v="1200"/>
    <n v="500"/>
    <n v="0.41666666666666669"/>
  </r>
  <r>
    <n v="1009"/>
    <d v="2026-08-05T00:00:00"/>
    <s v="David Ochieng"/>
    <x v="2"/>
    <s v="Electronics"/>
    <n v="2"/>
    <n v="1800"/>
    <s v="Cash"/>
    <s v="Jane"/>
    <s v="Keyboard"/>
    <s v=" Ksh1,100 "/>
    <n v="2200"/>
    <n v="3600"/>
    <n v="1400"/>
    <n v="0.3888888888888889"/>
  </r>
  <r>
    <n v="1010"/>
    <d v="2026-08-06T00:00:00"/>
    <s v="Grace Akinyi"/>
    <x v="1"/>
    <s v="Accessories"/>
    <n v="4"/>
    <n v="500"/>
    <s v="M-Pesa"/>
    <s v="Jane"/>
    <s v="USB Cable"/>
    <s v=" Ksh250 "/>
    <n v="1000"/>
    <n v="2000"/>
    <n v="1000"/>
    <n v="0.5"/>
  </r>
  <r>
    <n v="1011"/>
    <d v="2026-08-06T00:00:00"/>
    <s v="Peter Kamau"/>
    <x v="0"/>
    <s v="Accessories"/>
    <n v="1"/>
    <n v="2500"/>
    <s v="M-Pesa"/>
    <s v="Peter"/>
    <s v="Laptop Bag"/>
    <s v=" Ksh1,700 "/>
    <n v="1700"/>
    <n v="2500"/>
    <n v="800"/>
    <n v="0.32"/>
  </r>
  <r>
    <n v="1012"/>
    <d v="2026-08-07T00:00:00"/>
    <s v="John Mwangi"/>
    <x v="3"/>
    <s v="Electronics"/>
    <n v="2"/>
    <n v="1200"/>
    <s v="Cash"/>
    <s v="Peter"/>
    <s v="Wireless Mouse"/>
    <s v=" Ksh700 "/>
    <n v="1400"/>
    <n v="2400"/>
    <n v="1000"/>
    <n v="0.41666666666666669"/>
  </r>
  <r>
    <n v="1013"/>
    <d v="2026-08-08T00:00:00"/>
    <s v="Mary Wanjiku"/>
    <x v="2"/>
    <s v="Electronics"/>
    <n v="1"/>
    <n v="1800"/>
    <s v="M-Pesa"/>
    <s v="Jane"/>
    <s v="Keyboard"/>
    <s v=" Ksh1,100 "/>
    <n v="1100"/>
    <n v="1800"/>
    <n v="700"/>
    <n v="0.3888888888888889"/>
  </r>
  <r>
    <n v="1014"/>
    <d v="2026-08-08T00:00:00"/>
    <s v="David Ochieng"/>
    <x v="1"/>
    <s v="Accessories"/>
    <n v="3"/>
    <n v="500"/>
    <s v="M-Pesa"/>
    <s v="Jane"/>
    <s v="USB Cable"/>
    <s v=" Ksh250 "/>
    <n v="750"/>
    <n v="1500"/>
    <n v="750"/>
    <n v="0.5"/>
  </r>
  <r>
    <n v="1015"/>
    <d v="2026-08-09T00:00:00"/>
    <s v="Grace Akinyi"/>
    <x v="0"/>
    <s v="Accessories"/>
    <n v="2"/>
    <n v="2500"/>
    <s v="Cash"/>
    <s v="Peter"/>
    <s v="Laptop Bag"/>
    <s v=" Ksh1,700 "/>
    <n v="3400"/>
    <n v="5000"/>
    <n v="1600"/>
    <n v="0.32"/>
  </r>
  <r>
    <n v="1016"/>
    <d v="2026-08-10T00:00:00"/>
    <s v="Peter Kamau"/>
    <x v="3"/>
    <s v="Electronics"/>
    <n v="1"/>
    <n v="1200"/>
    <s v="M-Pesa"/>
    <s v="Peter"/>
    <s v="Wireless Mouse"/>
    <s v=" Ksh700 "/>
    <n v="700"/>
    <n v="1200"/>
    <n v="500"/>
    <n v="0.41666666666666669"/>
  </r>
  <r>
    <n v="1017"/>
    <d v="2026-08-10T00:00:00"/>
    <s v="John Mwangi"/>
    <x v="1"/>
    <s v="Accessories"/>
    <n v="6"/>
    <n v="500"/>
    <s v="Cash"/>
    <s v="Jane"/>
    <s v="USB Cable"/>
    <s v=" Ksh250 "/>
    <n v="1500"/>
    <n v="3000"/>
    <n v="1500"/>
    <n v="0.5"/>
  </r>
  <r>
    <n v="1018"/>
    <d v="2026-08-11T00:00:00"/>
    <s v="Mary Wanjiku"/>
    <x v="0"/>
    <s v="Accessories"/>
    <n v="1"/>
    <n v="2500"/>
    <s v="M-Pesa"/>
    <s v="Peter"/>
    <s v="Laptop Bag"/>
    <s v=" Ksh1,700 "/>
    <n v="1700"/>
    <n v="2500"/>
    <n v="800"/>
    <n v="0.32"/>
  </r>
  <r>
    <n v="1019"/>
    <d v="2026-08-12T00:00:00"/>
    <s v="David Ochieng"/>
    <x v="2"/>
    <s v="Electronics"/>
    <n v="2"/>
    <n v="1800"/>
    <s v="Cash"/>
    <s v="Jane"/>
    <s v="Keyboard"/>
    <s v=" Ksh1,100 "/>
    <n v="2200"/>
    <n v="3600"/>
    <n v="1400"/>
    <n v="0.3888888888888889"/>
  </r>
  <r>
    <n v="1020"/>
    <d v="2026-08-12T00:00:00"/>
    <s v="Grace Akinyi"/>
    <x v="3"/>
    <s v="Electronics"/>
    <n v="3"/>
    <n v="1200"/>
    <s v="M-Pesa"/>
    <s v="Peter"/>
    <s v="Wireless Mouse"/>
    <s v=" Ksh700 "/>
    <n v="2100"/>
    <n v="3600"/>
    <n v="1500"/>
    <n v="0.41666666666666669"/>
  </r>
  <r>
    <n v="1021"/>
    <d v="2026-08-13T00:00:00"/>
    <s v="Peter Kamau"/>
    <x v="1"/>
    <s v="Accessories"/>
    <n v="2"/>
    <n v="500"/>
    <s v="M-Pesa"/>
    <s v="Jane"/>
    <s v="USB Cable"/>
    <s v=" Ksh250 "/>
    <n v="500"/>
    <n v="1000"/>
    <n v="500"/>
    <n v="0.5"/>
  </r>
  <r>
    <n v="1022"/>
    <d v="2026-08-14T00:00:00"/>
    <s v="John Mwangi"/>
    <x v="0"/>
    <s v="Accessories"/>
    <n v="1"/>
    <n v="2500"/>
    <s v="Cash"/>
    <s v="Peter"/>
    <s v="Laptop Bag"/>
    <s v=" Ksh1,700 "/>
    <n v="1700"/>
    <n v="2500"/>
    <n v="800"/>
    <n v="0.32"/>
  </r>
  <r>
    <n v="1023"/>
    <d v="2026-08-14T00:00:00"/>
    <s v="Mary Wanjiku"/>
    <x v="3"/>
    <s v="Electronics"/>
    <n v="2"/>
    <n v="1200"/>
    <s v="M-Pesa"/>
    <s v="Peter"/>
    <s v="Wireless Mouse"/>
    <s v=" Ksh700 "/>
    <n v="1400"/>
    <n v="2400"/>
    <n v="1000"/>
    <n v="0.41666666666666669"/>
  </r>
  <r>
    <n v="1024"/>
    <d v="2026-08-15T00:00:00"/>
    <s v="David Ochieng"/>
    <x v="2"/>
    <s v="Electronics"/>
    <n v="1"/>
    <n v="1800"/>
    <s v="Cash"/>
    <s v="Jane"/>
    <s v="Keyboard"/>
    <s v=" Ksh1,100 "/>
    <n v="1100"/>
    <n v="1800"/>
    <n v="700"/>
    <n v="0.3888888888888889"/>
  </r>
  <r>
    <n v="1025"/>
    <d v="2026-08-15T00:00:00"/>
    <s v="Grace Akinyi"/>
    <x v="1"/>
    <s v="Accessories"/>
    <n v="5"/>
    <n v="500"/>
    <s v="M-Pesa"/>
    <s v="Jane"/>
    <s v="USB Cable"/>
    <s v=" Ksh250 "/>
    <n v="1250"/>
    <n v="2500"/>
    <n v="1250"/>
    <n v="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1001"/>
    <d v="2026-08-01T00:00:00"/>
    <s v="John Mwangi"/>
    <x v="0"/>
    <s v="Accessories"/>
    <n v="2"/>
    <n v="2500"/>
    <s v="Cash"/>
    <x v="0"/>
    <s v="Laptop Bag"/>
    <s v=" Ksh1,700 "/>
    <n v="5000"/>
    <n v="3400"/>
    <n v="1600"/>
    <n v="0.32"/>
  </r>
  <r>
    <n v="1002"/>
    <d v="2026-08-01T00:00:00"/>
    <s v="Mary Wanjiku"/>
    <x v="1"/>
    <s v="Accessories"/>
    <n v="3"/>
    <n v="500"/>
    <s v="M-Pesa"/>
    <x v="1"/>
    <s v="USB Cable"/>
    <s v=" Ksh250 "/>
    <n v="1500"/>
    <n v="750"/>
    <n v="750"/>
    <n v="0.5"/>
  </r>
  <r>
    <n v="1003"/>
    <d v="2026-08-02T00:00:00"/>
    <s v="John Mwangi"/>
    <x v="0"/>
    <s v="Accessories"/>
    <n v="1"/>
    <n v="2500"/>
    <s v="M-Pesa"/>
    <x v="0"/>
    <s v="Laptop Bag"/>
    <s v=" Ksh1,700 "/>
    <n v="2500"/>
    <n v="1700"/>
    <n v="800"/>
    <n v="0.32"/>
  </r>
  <r>
    <n v="1005"/>
    <d v="2026-08-03T00:00:00"/>
    <s v="Grace Akinyi"/>
    <x v="2"/>
    <s v="Electronics"/>
    <n v="1"/>
    <n v="1800"/>
    <s v="M-Pesa"/>
    <x v="1"/>
    <s v="Keyboard"/>
    <s v=" Ksh1,100 "/>
    <n v="1800"/>
    <n v="1100"/>
    <n v="700"/>
    <n v="0.3888888888888889"/>
  </r>
  <r>
    <n v="1004"/>
    <d v="2026-08-03T00:00:00"/>
    <s v="David Ochieng"/>
    <x v="3"/>
    <s v="Electronics"/>
    <n v="2"/>
    <n v="1200"/>
    <s v="Cash"/>
    <x v="0"/>
    <s v="Wireless Mouse"/>
    <s v=" Ksh700 "/>
    <n v="2400"/>
    <n v="1400"/>
    <n v="1000"/>
    <n v="0.41666666666666669"/>
  </r>
  <r>
    <n v="1006"/>
    <d v="2026-08-04T00:00:00"/>
    <s v="Peter Kamau"/>
    <x v="1"/>
    <s v="Accessories"/>
    <n v="5"/>
    <n v="500"/>
    <s v="M-Pesa"/>
    <x v="1"/>
    <s v="USB Cable"/>
    <s v=" Ksh250 "/>
    <n v="2500"/>
    <n v="1250"/>
    <n v="1250"/>
    <n v="0.5"/>
  </r>
  <r>
    <n v="1007"/>
    <d v="2026-08-04T00:00:00"/>
    <s v="John Mwangi"/>
    <x v="0"/>
    <s v="Accessories"/>
    <n v="2"/>
    <n v="2500"/>
    <s v="Cash"/>
    <x v="0"/>
    <s v="Laptop Bag"/>
    <s v=" Ksh1,700 "/>
    <n v="5000"/>
    <n v="3400"/>
    <n v="1600"/>
    <n v="0.32"/>
  </r>
  <r>
    <n v="1008"/>
    <d v="2026-08-05T00:00:00"/>
    <s v="Mary Wanjiku"/>
    <x v="3"/>
    <s v="Electronics"/>
    <n v="1"/>
    <n v="1200"/>
    <s v="M-Pesa"/>
    <x v="0"/>
    <s v="Wireless Mouse"/>
    <s v=" Ksh700 "/>
    <n v="1200"/>
    <n v="700"/>
    <n v="500"/>
    <n v="0.41666666666666669"/>
  </r>
  <r>
    <n v="1009"/>
    <d v="2026-08-05T00:00:00"/>
    <s v="David Ochieng"/>
    <x v="2"/>
    <s v="Electronics"/>
    <n v="2"/>
    <n v="1800"/>
    <s v="Cash"/>
    <x v="1"/>
    <s v="Keyboard"/>
    <s v=" Ksh1,100 "/>
    <n v="3600"/>
    <n v="2200"/>
    <n v="1400"/>
    <n v="0.3888888888888889"/>
  </r>
  <r>
    <n v="1010"/>
    <d v="2026-08-06T00:00:00"/>
    <s v="Grace Akinyi"/>
    <x v="1"/>
    <s v="Accessories"/>
    <n v="4"/>
    <n v="500"/>
    <s v="M-Pesa"/>
    <x v="1"/>
    <s v="USB Cable"/>
    <s v=" Ksh250 "/>
    <n v="2000"/>
    <n v="1000"/>
    <n v="1000"/>
    <n v="0.5"/>
  </r>
  <r>
    <n v="1011"/>
    <d v="2026-08-06T00:00:00"/>
    <s v="Peter Kamau"/>
    <x v="0"/>
    <s v="Accessories"/>
    <n v="1"/>
    <n v="2500"/>
    <s v="M-Pesa"/>
    <x v="0"/>
    <s v="Laptop Bag"/>
    <s v=" Ksh1,700 "/>
    <n v="2500"/>
    <n v="1700"/>
    <n v="800"/>
    <n v="0.32"/>
  </r>
  <r>
    <n v="1012"/>
    <d v="2026-08-07T00:00:00"/>
    <s v="John Mwangi"/>
    <x v="3"/>
    <s v="Electronics"/>
    <n v="2"/>
    <n v="1200"/>
    <s v="Cash"/>
    <x v="0"/>
    <s v="Wireless Mouse"/>
    <s v=" Ksh700 "/>
    <n v="2400"/>
    <n v="1400"/>
    <n v="1000"/>
    <n v="0.41666666666666669"/>
  </r>
  <r>
    <n v="1014"/>
    <d v="2026-08-08T00:00:00"/>
    <s v="David Ochieng"/>
    <x v="1"/>
    <s v="Accessories"/>
    <n v="3"/>
    <n v="500"/>
    <s v="M-Pesa"/>
    <x v="1"/>
    <s v="USB Cable"/>
    <s v=" Ksh250 "/>
    <n v="1500"/>
    <n v="750"/>
    <n v="750"/>
    <n v="0.5"/>
  </r>
  <r>
    <n v="1013"/>
    <d v="2026-08-08T00:00:00"/>
    <s v="Mary Wanjiku"/>
    <x v="2"/>
    <s v="Electronics"/>
    <n v="1"/>
    <n v="1800"/>
    <s v="M-Pesa"/>
    <x v="1"/>
    <s v="Keyboard"/>
    <s v=" Ksh1,100 "/>
    <n v="1800"/>
    <n v="1100"/>
    <n v="700"/>
    <n v="0.3888888888888889"/>
  </r>
  <r>
    <n v="1015"/>
    <d v="2026-08-09T00:00:00"/>
    <s v="Grace Akinyi"/>
    <x v="0"/>
    <s v="Accessories"/>
    <n v="2"/>
    <n v="2500"/>
    <s v="Cash"/>
    <x v="0"/>
    <s v="Laptop Bag"/>
    <s v=" Ksh1,700 "/>
    <n v="5000"/>
    <n v="3400"/>
    <n v="1600"/>
    <n v="0.32"/>
  </r>
  <r>
    <n v="1016"/>
    <d v="2026-08-10T00:00:00"/>
    <s v="Peter Kamau"/>
    <x v="3"/>
    <s v="Electronics"/>
    <n v="1"/>
    <n v="1200"/>
    <s v="M-Pesa"/>
    <x v="0"/>
    <s v="Wireless Mouse"/>
    <s v=" Ksh700 "/>
    <n v="1200"/>
    <n v="700"/>
    <n v="500"/>
    <n v="0.41666666666666669"/>
  </r>
  <r>
    <n v="1017"/>
    <d v="2026-08-10T00:00:00"/>
    <s v="John Mwangi"/>
    <x v="1"/>
    <s v="Accessories"/>
    <n v="6"/>
    <n v="500"/>
    <s v="Cash"/>
    <x v="1"/>
    <s v="USB Cable"/>
    <s v=" Ksh250 "/>
    <n v="3000"/>
    <n v="1500"/>
    <n v="1500"/>
    <n v="0.5"/>
  </r>
  <r>
    <n v="1018"/>
    <d v="2026-08-11T00:00:00"/>
    <s v="Mary Wanjiku"/>
    <x v="0"/>
    <s v="Accessories"/>
    <n v="1"/>
    <n v="2500"/>
    <s v="M-Pesa"/>
    <x v="0"/>
    <s v="Laptop Bag"/>
    <s v=" Ksh1,700 "/>
    <n v="2500"/>
    <n v="1700"/>
    <n v="800"/>
    <n v="0.32"/>
  </r>
  <r>
    <n v="1019"/>
    <d v="2026-08-12T00:00:00"/>
    <s v="David Ochieng"/>
    <x v="2"/>
    <s v="Electronics"/>
    <n v="2"/>
    <n v="1800"/>
    <s v="Cash"/>
    <x v="1"/>
    <s v="Keyboard"/>
    <s v=" Ksh1,100 "/>
    <n v="3600"/>
    <n v="2200"/>
    <n v="1400"/>
    <n v="0.3888888888888889"/>
  </r>
  <r>
    <n v="1020"/>
    <d v="2026-08-12T00:00:00"/>
    <s v="Grace Akinyi"/>
    <x v="3"/>
    <s v="Electronics"/>
    <n v="3"/>
    <n v="1200"/>
    <s v="M-Pesa"/>
    <x v="0"/>
    <s v="Wireless Mouse"/>
    <s v=" Ksh700 "/>
    <n v="3600"/>
    <n v="2100"/>
    <n v="1500"/>
    <n v="0.41666666666666669"/>
  </r>
  <r>
    <n v="1021"/>
    <d v="2026-08-13T00:00:00"/>
    <s v="Peter Kamau"/>
    <x v="1"/>
    <s v="Accessories"/>
    <n v="2"/>
    <n v="500"/>
    <s v="M-Pesa"/>
    <x v="1"/>
    <s v="USB Cable"/>
    <s v=" Ksh250 "/>
    <n v="1000"/>
    <n v="500"/>
    <n v="500"/>
    <n v="0.5"/>
  </r>
  <r>
    <n v="1022"/>
    <d v="2026-08-14T00:00:00"/>
    <s v="John Mwangi"/>
    <x v="0"/>
    <s v="Accessories"/>
    <n v="1"/>
    <n v="2500"/>
    <s v="Cash"/>
    <x v="0"/>
    <s v="Laptop Bag"/>
    <s v=" Ksh1,700 "/>
    <n v="2500"/>
    <n v="1700"/>
    <n v="800"/>
    <n v="0.32"/>
  </r>
  <r>
    <n v="1023"/>
    <d v="2026-08-14T00:00:00"/>
    <s v="Mary Wanjiku"/>
    <x v="3"/>
    <s v="Electronics"/>
    <n v="2"/>
    <n v="1200"/>
    <s v="M-Pesa"/>
    <x v="0"/>
    <s v="Wireless Mouse"/>
    <s v=" Ksh700 "/>
    <n v="2400"/>
    <n v="1400"/>
    <n v="1000"/>
    <n v="0.41666666666666669"/>
  </r>
  <r>
    <n v="1024"/>
    <d v="2026-08-15T00:00:00"/>
    <s v="David Ochieng"/>
    <x v="2"/>
    <s v="Electronics"/>
    <n v="1"/>
    <n v="1800"/>
    <s v="Cash"/>
    <x v="1"/>
    <s v="Keyboard"/>
    <s v=" Ksh1,100 "/>
    <n v="1800"/>
    <n v="1100"/>
    <n v="700"/>
    <n v="0.3888888888888889"/>
  </r>
  <r>
    <n v="1025"/>
    <d v="2026-08-15T00:00:00"/>
    <s v="Grace Akinyi"/>
    <x v="1"/>
    <s v="Accessories"/>
    <n v="5"/>
    <n v="500"/>
    <s v="M-Pesa"/>
    <x v="1"/>
    <s v="USB Cable"/>
    <s v=" Ksh250 "/>
    <n v="2500"/>
    <n v="1250"/>
    <n v="1250"/>
    <n v="0.5"/>
  </r>
  <r>
    <n v="1026"/>
    <d v="2026-08-16T00:00:00"/>
    <s v="James Otieno"/>
    <x v="1"/>
    <s v="Accessories"/>
    <n v="4"/>
    <n v="500"/>
    <s v="M-Pesa"/>
    <x v="1"/>
    <s v="USB Cable"/>
    <s v=" Ksh250 "/>
    <n v="2000"/>
    <n v="1000"/>
    <n v="1000"/>
    <n v="0.5"/>
  </r>
  <r>
    <n v="1027"/>
    <d v="2026-08-16T00:00:00"/>
    <s v="Sarah Wambui"/>
    <x v="0"/>
    <s v="Accessories"/>
    <n v="1"/>
    <n v="2500"/>
    <s v="Cash"/>
    <x v="0"/>
    <s v="Laptop Bag"/>
    <s v=" Ksh1,700 "/>
    <n v="2500"/>
    <n v="1700"/>
    <n v="800"/>
    <n v="0.32"/>
  </r>
  <r>
    <n v="1029"/>
    <d v="2026-08-17T00:00:00"/>
    <s v="Grace Akinyi"/>
    <x v="2"/>
    <s v="Electronics"/>
    <n v="3"/>
    <n v="1800"/>
    <s v="Cash"/>
    <x v="1"/>
    <s v="Keyboard"/>
    <s v=" Ksh1,100 "/>
    <n v="5400"/>
    <n v="3300"/>
    <n v="2100"/>
    <n v="0.3888888888888889"/>
  </r>
  <r>
    <n v="1028"/>
    <d v="2026-08-17T00:00:00"/>
    <s v="David Ochieng"/>
    <x v="3"/>
    <s v="Electronics"/>
    <n v="2"/>
    <n v="1200"/>
    <s v="M-Pesa"/>
    <x v="0"/>
    <s v="Wireless Mouse"/>
    <s v=" Ksh700 "/>
    <n v="2400"/>
    <n v="1400"/>
    <n v="1000"/>
    <n v="0.41666666666666669"/>
  </r>
  <r>
    <n v="1030"/>
    <d v="2026-08-18T00:00:00"/>
    <s v="James Otieno"/>
    <x v="1"/>
    <s v="Accessories"/>
    <n v="5"/>
    <n v="500"/>
    <s v="M-Pesa"/>
    <x v="1"/>
    <s v="USB Cable"/>
    <s v=" Ksh250 "/>
    <n v="2500"/>
    <n v="1250"/>
    <n v="1250"/>
    <n v="0.5"/>
  </r>
  <r>
    <n v="1031"/>
    <d v="2026-08-18T00:00:00"/>
    <s v="Sarah Wambui"/>
    <x v="0"/>
    <s v="Accessories"/>
    <n v="2"/>
    <n v="2500"/>
    <s v="Cash"/>
    <x v="0"/>
    <s v="Laptop Bag"/>
    <s v=" Ksh1,700 "/>
    <n v="5000"/>
    <n v="3400"/>
    <n v="1600"/>
    <n v="0.32"/>
  </r>
  <r>
    <n v="1032"/>
    <d v="2026-08-19T00:00:00"/>
    <s v="Peter Kamau"/>
    <x v="3"/>
    <s v="Electronics"/>
    <n v="1"/>
    <n v="1200"/>
    <s v="M-Pesa"/>
    <x v="0"/>
    <s v="Wireless Mouse"/>
    <s v=" Ksh700 "/>
    <n v="1200"/>
    <n v="700"/>
    <n v="500"/>
    <n v="0.41666666666666669"/>
  </r>
  <r>
    <n v="1033"/>
    <d v="2026-08-19T00:00:00"/>
    <s v="Mary Wanjiku"/>
    <x v="1"/>
    <s v="Accessories"/>
    <n v="7"/>
    <n v="500"/>
    <s v="M-Pesa"/>
    <x v="1"/>
    <s v="USB Cable"/>
    <s v=" Ksh250 "/>
    <n v="3500"/>
    <n v="1750"/>
    <n v="1750"/>
    <n v="0.5"/>
  </r>
  <r>
    <n v="1034"/>
    <d v="2026-08-20T00:00:00"/>
    <s v="David Ochieng"/>
    <x v="2"/>
    <s v="Electronics"/>
    <n v="1"/>
    <n v="1800"/>
    <s v="Cash"/>
    <x v="1"/>
    <s v="Keyboard"/>
    <s v=" Ksh1,100 "/>
    <n v="1800"/>
    <n v="1100"/>
    <n v="700"/>
    <n v="0.3888888888888889"/>
  </r>
  <r>
    <n v="1035"/>
    <d v="2026-08-20T00:00:00"/>
    <s v="Grace Akinyi"/>
    <x v="0"/>
    <s v="Accessories"/>
    <n v="2"/>
    <n v="2500"/>
    <s v="M-Pesa"/>
    <x v="0"/>
    <s v="Laptop Bag"/>
    <s v=" Ksh1,700 "/>
    <n v="5000"/>
    <n v="3400"/>
    <n v="1600"/>
    <n v="0.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1E6549-7B04-48A8-97F5-24BC3CDA96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0" firstDataRow="1" firstDataCol="1"/>
  <pivotFields count="15">
    <pivotField showAll="0"/>
    <pivotField numFmtId="14" showAll="0"/>
    <pivotField showAll="0"/>
    <pivotField axis="axisRow" showAll="0">
      <items count="5">
        <item x="2"/>
        <item x="0"/>
        <item x="1"/>
        <item x="3"/>
        <item t="default"/>
      </items>
    </pivotField>
    <pivotField showAll="0"/>
    <pivotField dataField="1" showAll="0"/>
    <pivotField showAll="0"/>
    <pivotField showAll="0"/>
    <pivotField showAll="0"/>
    <pivotField showAll="0"/>
    <pivotField showAll="0"/>
    <pivotField numFmtId="164" showAll="0"/>
    <pivotField dataField="1" numFmtId="164" showAll="0"/>
    <pivotField dataField="1" numFmtId="164" showAll="0"/>
    <pivotField numFmtId="9" showAll="0"/>
  </pivotFields>
  <rowFields count="1">
    <field x="3"/>
  </rowFields>
  <rowItems count="5">
    <i>
      <x/>
    </i>
    <i>
      <x v="1"/>
    </i>
    <i>
      <x v="2"/>
    </i>
    <i>
      <x v="3"/>
    </i>
    <i t="grand">
      <x/>
    </i>
  </rowItems>
  <colFields count="1">
    <field x="-2"/>
  </colFields>
  <colItems count="3">
    <i>
      <x/>
    </i>
    <i i="1">
      <x v="1"/>
    </i>
    <i i="2">
      <x v="2"/>
    </i>
  </colItems>
  <dataFields count="3">
    <dataField name="Sum of Quantity" fld="5" baseField="0" baseItem="0"/>
    <dataField name="Sum of Revenue" fld="12" baseField="0" baseItem="0" numFmtId="164"/>
    <dataField name="Sum of Gross Profit" fld="13" baseField="0" baseItem="0" numFmtId="164"/>
  </dataFields>
  <chartFormats count="3">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AED449-7DF4-4ED2-9F8A-458FA79AA6E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4" firstHeaderRow="0" firstDataRow="1" firstDataCol="1"/>
  <pivotFields count="15">
    <pivotField showAll="0"/>
    <pivotField numFmtId="14" showAll="0"/>
    <pivotField showAll="0"/>
    <pivotField showAll="0"/>
    <pivotField showAll="0"/>
    <pivotField dataField="1" showAll="0"/>
    <pivotField numFmtId="164" showAll="0"/>
    <pivotField showAll="0"/>
    <pivotField axis="axisRow" showAll="0">
      <items count="3">
        <item x="1"/>
        <item x="0"/>
        <item t="default"/>
      </items>
    </pivotField>
    <pivotField showAll="0"/>
    <pivotField showAll="0"/>
    <pivotField dataField="1" numFmtId="164" showAll="0"/>
    <pivotField numFmtId="44" showAll="0"/>
    <pivotField dataField="1" numFmtId="164" showAll="0"/>
    <pivotField numFmtId="9" showAll="0"/>
  </pivotFields>
  <rowFields count="1">
    <field x="8"/>
  </rowFields>
  <rowItems count="3">
    <i>
      <x/>
    </i>
    <i>
      <x v="1"/>
    </i>
    <i t="grand">
      <x/>
    </i>
  </rowItems>
  <colFields count="1">
    <field x="-2"/>
  </colFields>
  <colItems count="3">
    <i>
      <x/>
    </i>
    <i i="1">
      <x v="1"/>
    </i>
    <i i="2">
      <x v="2"/>
    </i>
  </colItems>
  <dataFields count="3">
    <dataField name="Sum of Quantity" fld="5" baseField="0" baseItem="0"/>
    <dataField name="Sum of Revenue" fld="11" baseField="0" baseItem="0" numFmtId="164"/>
    <dataField name="Sum of Gross profit" fld="13" baseField="0" baseItem="0" numFmtId="164"/>
  </dataFields>
  <formats count="6">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A0194D-43E5-4DE1-A51B-1BE04F87336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8:D41" firstHeaderRow="0" firstDataRow="1" firstDataCol="1"/>
  <pivotFields count="15">
    <pivotField showAll="0"/>
    <pivotField numFmtId="14" showAll="0"/>
    <pivotField showAll="0"/>
    <pivotField showAll="0"/>
    <pivotField showAll="0"/>
    <pivotField showAll="0"/>
    <pivotField numFmtId="164" showAll="0"/>
    <pivotField showAll="0"/>
    <pivotField axis="axisRow" showAll="0">
      <items count="3">
        <item x="1"/>
        <item x="0"/>
        <item t="default"/>
      </items>
    </pivotField>
    <pivotField showAll="0"/>
    <pivotField showAll="0"/>
    <pivotField dataField="1" numFmtId="164" showAll="0"/>
    <pivotField numFmtId="44" showAll="0"/>
    <pivotField dataField="1" numFmtId="164" showAll="0"/>
    <pivotField numFmtId="9" showAll="0"/>
  </pivotFields>
  <rowFields count="1">
    <field x="8"/>
  </rowFields>
  <rowItems count="3">
    <i>
      <x/>
    </i>
    <i>
      <x v="1"/>
    </i>
    <i t="grand">
      <x/>
    </i>
  </rowItems>
  <colFields count="1">
    <field x="-2"/>
  </colFields>
  <colItems count="2">
    <i>
      <x/>
    </i>
    <i i="1">
      <x v="1"/>
    </i>
  </colItems>
  <dataFields count="2">
    <dataField name="Sum of Revenue" fld="11" baseField="0" baseItem="0" numFmtId="164"/>
    <dataField name="Sum of Gross profit" fld="13" baseField="0" baseItem="0" numFmtId="164"/>
  </dataField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4C1EA0-65AC-48C2-8F25-DDA22840498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1:D26" firstHeaderRow="0" firstDataRow="1" firstDataCol="1"/>
  <pivotFields count="15">
    <pivotField showAll="0"/>
    <pivotField numFmtId="14" showAll="0"/>
    <pivotField showAll="0"/>
    <pivotField axis="axisRow" showAll="0">
      <items count="5">
        <item x="2"/>
        <item x="0"/>
        <item x="1"/>
        <item x="3"/>
        <item t="default"/>
      </items>
    </pivotField>
    <pivotField showAll="0"/>
    <pivotField showAll="0"/>
    <pivotField numFmtId="164" showAll="0"/>
    <pivotField showAll="0"/>
    <pivotField showAll="0"/>
    <pivotField showAll="0"/>
    <pivotField showAll="0"/>
    <pivotField dataField="1" numFmtId="164" showAll="0"/>
    <pivotField numFmtId="44" showAll="0"/>
    <pivotField dataField="1" numFmtId="164" showAll="0"/>
    <pivotField numFmtId="9" showAll="0"/>
  </pivotFields>
  <rowFields count="1">
    <field x="3"/>
  </rowFields>
  <rowItems count="5">
    <i>
      <x/>
    </i>
    <i>
      <x v="1"/>
    </i>
    <i>
      <x v="2"/>
    </i>
    <i>
      <x v="3"/>
    </i>
    <i t="grand">
      <x/>
    </i>
  </rowItems>
  <colFields count="1">
    <field x="-2"/>
  </colFields>
  <colItems count="2">
    <i>
      <x/>
    </i>
    <i i="1">
      <x v="1"/>
    </i>
  </colItems>
  <dataFields count="2">
    <dataField name="Sum of Revenue" fld="11" baseField="0" baseItem="0" numFmtId="164"/>
    <dataField name="Sum of Gross profit" fld="13"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44C4A7A8-7A82-4BB5-B4B5-9F7BC44A35AE}" autoFormatId="16" applyNumberFormats="0" applyBorderFormats="0" applyFontFormats="0" applyPatternFormats="0" applyAlignmentFormats="0" applyWidthHeightFormats="0">
  <queryTableRefresh nextId="11" unboundColumnsRight="1">
    <queryTableFields count="10">
      <queryTableField id="1" name="Transaction_ID" tableColumnId="1"/>
      <queryTableField id="2" name="Date" tableColumnId="2"/>
      <queryTableField id="3" name="Customer" tableColumnId="3"/>
      <queryTableField id="4" name="Product" tableColumnId="4"/>
      <queryTableField id="5" name="Category" tableColumnId="5"/>
      <queryTableField id="6" name="Quantity" tableColumnId="6"/>
      <queryTableField id="7" name="Unit_Price" tableColumnId="7"/>
      <queryTableField id="8" name="Payment_Method" tableColumnId="8"/>
      <queryTableField id="9" name="Salesperson"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1827886F-2E02-486A-8D46-ACA21F2890F3}" autoFormatId="16" applyNumberFormats="0" applyBorderFormats="0" applyFontFormats="0" applyPatternFormats="0" applyAlignmentFormats="0" applyWidthHeightFormats="0">
  <queryTableRefresh nextId="10">
    <queryTableFields count="9">
      <queryTableField id="1" name="Transaction_ID" tableColumnId="1"/>
      <queryTableField id="2" name="Date" tableColumnId="2"/>
      <queryTableField id="3" name="Customer" tableColumnId="3"/>
      <queryTableField id="4" name="Product" tableColumnId="4"/>
      <queryTableField id="5" name="Category" tableColumnId="5"/>
      <queryTableField id="6" name="Quantity" tableColumnId="6"/>
      <queryTableField id="7" name="Unit_Price" tableColumnId="7"/>
      <queryTableField id="8" name="Payment_Method" tableColumnId="8"/>
      <queryTableField id="9" name="Salesperson"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747FDEA4-5615-4C86-B720-E93B2C6BFEBE}" autoFormatId="16" applyNumberFormats="0" applyBorderFormats="0" applyFontFormats="0" applyPatternFormats="0" applyAlignmentFormats="0" applyWidthHeightFormats="0">
  <queryTableRefresh nextId="10">
    <queryTableFields count="9">
      <queryTableField id="1" name="Transaction_ID" tableColumnId="1"/>
      <queryTableField id="2" name="Date" tableColumnId="2"/>
      <queryTableField id="3" name="Customer" tableColumnId="3"/>
      <queryTableField id="4" name="Product" tableColumnId="4"/>
      <queryTableField id="5" name="Category" tableColumnId="5"/>
      <queryTableField id="6" name="Quantity" tableColumnId="6"/>
      <queryTableField id="7" name="Unit_Price" tableColumnId="7"/>
      <queryTableField id="8" name="Payment_Method" tableColumnId="8"/>
      <queryTableField id="9" name="Salesperson"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D0746399-7B0F-4C60-B665-EC7763764EFA}" autoFormatId="16" applyNumberFormats="0" applyBorderFormats="0" applyFontFormats="0" applyPatternFormats="0" applyAlignmentFormats="0" applyWidthHeightFormats="0">
  <queryTableRefresh nextId="16" unboundColumnsRight="4">
    <queryTableFields count="15">
      <queryTableField id="1" name="Transaction_ID" tableColumnId="1"/>
      <queryTableField id="2" name="Date" tableColumnId="2"/>
      <queryTableField id="3" name="Customer" tableColumnId="3"/>
      <queryTableField id="4" name="Product" tableColumnId="4"/>
      <queryTableField id="5" name="Category" tableColumnId="5"/>
      <queryTableField id="6" name="Quantity" tableColumnId="6"/>
      <queryTableField id="7" name="Unit_Price" tableColumnId="7"/>
      <queryTableField id="8" name="Payment_Method" tableColumnId="8"/>
      <queryTableField id="9" name="Salesperson" tableColumnId="9"/>
      <queryTableField id="10" name="Table (2).Column1" tableColumnId="10"/>
      <queryTableField id="11" name="Table (2).Column2" tableColumnId="11"/>
      <queryTableField id="12" dataBound="0" tableColumnId="12"/>
      <queryTableField id="13" dataBound="0" tableColumnId="13"/>
      <queryTableField id="14" dataBound="0" tableColumnId="14"/>
      <queryTableField id="15" dataBound="0"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8B28CA-77F5-4312-914E-25168FBA0BF1}" name="Table" displayName="Table" ref="C3:L28" tableType="queryTable" totalsRowShown="0">
  <autoFilter ref="C3:L28" xr:uid="{A18B28CA-77F5-4312-914E-25168FBA0BF1}"/>
  <tableColumns count="10">
    <tableColumn id="1" xr3:uid="{8502524E-1030-46E3-966E-63BDD908830C}" uniqueName="1" name="Transaction_ID" queryTableFieldId="1"/>
    <tableColumn id="2" xr3:uid="{9DCEDA64-517D-4454-8A33-D8B20A4AC384}" uniqueName="2" name="Date" queryTableFieldId="2" dataDxfId="48"/>
    <tableColumn id="3" xr3:uid="{22B57E7F-10D6-49C4-BF27-110FB8BEFA39}" uniqueName="3" name="Customer" queryTableFieldId="3" dataDxfId="47"/>
    <tableColumn id="4" xr3:uid="{D0D62B21-6AAF-4F29-AC77-8C195DF07AD8}" uniqueName="4" name="Product" queryTableFieldId="4" dataDxfId="46"/>
    <tableColumn id="5" xr3:uid="{D8871A34-A846-4B78-AF3E-A151AD478D6A}" uniqueName="5" name="Category" queryTableFieldId="5" dataDxfId="45"/>
    <tableColumn id="6" xr3:uid="{423D531E-9D70-4645-B745-3C763C3B6431}" uniqueName="6" name="Quantity" queryTableFieldId="6"/>
    <tableColumn id="7" xr3:uid="{75E4EC10-5BCF-4BBE-8C62-2004A5D8F957}" uniqueName="7" name="Unit_Price" queryTableFieldId="7" dataDxfId="44" dataCellStyle="Currency"/>
    <tableColumn id="8" xr3:uid="{71A6CEF6-3DC0-488F-9C14-E5D5E846FE65}" uniqueName="8" name="Payment_Method" queryTableFieldId="8" dataDxfId="43"/>
    <tableColumn id="9" xr3:uid="{6FCA320D-1F93-4A58-BDE3-FD08B009052C}" uniqueName="9" name="Salesperson" queryTableFieldId="9" dataDxfId="42"/>
    <tableColumn id="10" xr3:uid="{C8C6E51A-9179-49DF-994A-C9C6A694CB82}" uniqueName="10" name="Total sales" queryTableFieldId="10" dataDxfId="41" dataCellStyle="Currency">
      <calculatedColumnFormula>Table[[#This Row],[Unit_Price]]*Table[[#This Row],[Quantity]]</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A6D5B2-6AB7-4F32-AA8B-08A8BA3479CE}" name="Merge1" displayName="Merge1" ref="A1:O26" totalsRowShown="0">
  <autoFilter ref="A1:O26" xr:uid="{21A6D5B2-6AB7-4F32-AA8B-08A8BA3479CE}"/>
  <tableColumns count="15">
    <tableColumn id="1" xr3:uid="{6583D051-2AA7-4AD0-A780-E048400E52E0}" name="Transaction_ID"/>
    <tableColumn id="2" xr3:uid="{1EEADE44-28D3-49FE-A365-27CB4C125028}" name="Date" dataDxfId="40"/>
    <tableColumn id="3" xr3:uid="{13DEB8C5-0E87-4B92-B23C-9D0F871AC897}" name="Customer" dataDxfId="39"/>
    <tableColumn id="4" xr3:uid="{A9CC84C9-E3BD-4DC4-8237-E3F9408C43AA}" name="Product" dataDxfId="38"/>
    <tableColumn id="5" xr3:uid="{20C73600-887B-4EA4-9BC0-1A987946E80F}" name="Category" dataDxfId="37"/>
    <tableColumn id="6" xr3:uid="{92E1B787-D421-4DBC-AEEE-9E80F9FCAA0D}" name="Quantity"/>
    <tableColumn id="7" xr3:uid="{831E2002-CC93-456A-B2DB-8C02C17B8C76}" name="Unit_Price"/>
    <tableColumn id="8" xr3:uid="{030FBD53-7963-4C71-94F7-4A1647A7D159}" name="Payment_Method" dataDxfId="36"/>
    <tableColumn id="9" xr3:uid="{673E8D24-B6B1-4E2F-9423-B87FBF326EDA}" name="Salesperson" dataDxfId="35"/>
    <tableColumn id="10" xr3:uid="{61434BC3-7672-4E75-9912-DC6DD7FCC33A}" name="Table (2).Column1" dataDxfId="34"/>
    <tableColumn id="11" xr3:uid="{98158398-C6F2-4B03-864E-CECACC20B76A}" name="Table (2).Column2" dataDxfId="33"/>
    <tableColumn id="12" xr3:uid="{63D137B9-CB42-4F04-ACB5-463A3A262B7B}" name="Cost of Goods sold" dataDxfId="32" dataCellStyle="Currency">
      <calculatedColumnFormula>Merge1[[#This Row],[Table (2).Column2]]*Merge1[[#This Row],[Quantity]]</calculatedColumnFormula>
    </tableColumn>
    <tableColumn id="14" xr3:uid="{6C770C06-E55B-4000-8777-40FB1124284E}" name="Revenue" dataDxfId="31" dataCellStyle="Currency">
      <calculatedColumnFormula>Merge1[[#This Row],[Unit_Price]]*Merge1[[#This Row],[Quantity]]</calculatedColumnFormula>
    </tableColumn>
    <tableColumn id="15" xr3:uid="{BAD16EA5-DEF4-489B-9EE2-FAA6BCED13E0}" name="Gross Profit" dataDxfId="30" dataCellStyle="Currency">
      <calculatedColumnFormula>Merge1[[#This Row],[Revenue]]-Merge1[[#This Row],[Cost of Goods sold]]</calculatedColumnFormula>
    </tableColumn>
    <tableColumn id="16" xr3:uid="{A846200E-0169-4056-9900-40654279677A}" name="GP Margin" dataCellStyle="Percent">
      <calculatedColumnFormula>Merge1[[#This Row],[Gross Profit]]/Merge1[[#This Row],[Revenue]]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9C7130-DB18-467C-B266-8DF6D3596340}" name="Table2" displayName="Table2" ref="A2:B6" totalsRowShown="0">
  <autoFilter ref="A2:B6" xr:uid="{989C7130-DB18-467C-B266-8DF6D3596340}"/>
  <tableColumns count="2">
    <tableColumn id="1" xr3:uid="{37EE4EED-9452-47F8-A7DF-335E8011578C}" name="Product"/>
    <tableColumn id="2" xr3:uid="{CD948233-910C-4DDC-B000-12E031347DF8}" name="Cost" dataDxfId="29" dataCellStyle="Currenc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52A311-2E19-4344-B833-DC3DED3F7F17}" name="Table__3" displayName="Table__3" ref="A1:I11" tableType="queryTable" totalsRowShown="0">
  <autoFilter ref="A1:I11" xr:uid="{4152A311-2E19-4344-B833-DC3DED3F7F17}"/>
  <tableColumns count="9">
    <tableColumn id="1" xr3:uid="{F0D137A8-556A-451A-9B54-D457D668D413}" uniqueName="1" name="Transaction_ID" queryTableFieldId="1"/>
    <tableColumn id="2" xr3:uid="{C321F7C4-333C-4762-8631-37DD3538E40B}" uniqueName="2" name="Date" queryTableFieldId="2" dataDxfId="28"/>
    <tableColumn id="3" xr3:uid="{5EA6617B-4581-4DF0-81E3-B706DF79B2CC}" uniqueName="3" name="Customer" queryTableFieldId="3" dataDxfId="27"/>
    <tableColumn id="4" xr3:uid="{101F1E00-F5F2-450B-A4B9-71CA131BE7BA}" uniqueName="4" name="Product" queryTableFieldId="4" dataDxfId="26"/>
    <tableColumn id="5" xr3:uid="{E6ADBD3A-FF28-4DB3-B437-CCB084EE10E3}" uniqueName="5" name="Category" queryTableFieldId="5" dataDxfId="25"/>
    <tableColumn id="6" xr3:uid="{B34FFC13-67CB-426B-A56B-71AA977FA4F8}" uniqueName="6" name="Quantity" queryTableFieldId="6"/>
    <tableColumn id="7" xr3:uid="{7471AF1B-216B-4465-BA0E-A8DA38F04CBA}" uniqueName="7" name="Unit_Price" queryTableFieldId="7"/>
    <tableColumn id="8" xr3:uid="{6A4DA9D6-0A01-4C89-817C-83AC2113C4EC}" uniqueName="8" name="Payment_Method" queryTableFieldId="8" dataDxfId="24"/>
    <tableColumn id="9" xr3:uid="{58B25A31-C4CF-404C-8E3B-7E269C16ECA8}" uniqueName="9" name="Salesperson" queryTableFieldId="9" dataDxfId="2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4306DB-4EE9-48CF-AA7C-D0265D139D28}" name="Append1" displayName="Append1" ref="A1:I36" tableType="queryTable" totalsRowShown="0">
  <autoFilter ref="A1:I36" xr:uid="{2F4306DB-4EE9-48CF-AA7C-D0265D139D28}"/>
  <tableColumns count="9">
    <tableColumn id="1" xr3:uid="{609238BE-38EE-4E41-BB66-EC2AC5E736E4}" uniqueName="1" name="Transaction_ID" queryTableFieldId="1"/>
    <tableColumn id="2" xr3:uid="{7ABB5B61-7C77-4B38-BE89-91BB9D863C37}" uniqueName="2" name="Date" queryTableFieldId="2" dataDxfId="22"/>
    <tableColumn id="3" xr3:uid="{54960956-37E2-4FCE-8F62-08777601E733}" uniqueName="3" name="Customer" queryTableFieldId="3" dataDxfId="21"/>
    <tableColumn id="4" xr3:uid="{47DB1FE1-D74F-4644-A627-4FF63E4FBF08}" uniqueName="4" name="Product" queryTableFieldId="4" dataDxfId="20"/>
    <tableColumn id="5" xr3:uid="{03F92F42-1905-4C1C-8C26-84DAAF2848B0}" uniqueName="5" name="Category" queryTableFieldId="5" dataDxfId="19"/>
    <tableColumn id="6" xr3:uid="{37F8648C-BD2D-4A0A-AA5B-94B3770F4208}" uniqueName="6" name="Quantity" queryTableFieldId="6"/>
    <tableColumn id="7" xr3:uid="{699A4B26-DA72-447F-8A06-397907587841}" uniqueName="7" name="Unit_Price" queryTableFieldId="7"/>
    <tableColumn id="8" xr3:uid="{03436599-B02D-47AF-AF21-B8975C6C7A5E}" uniqueName="8" name="Payment_Method" queryTableFieldId="8" dataDxfId="18"/>
    <tableColumn id="9" xr3:uid="{8D059070-CBAF-4663-9A99-9BEFBA43D412}" uniqueName="9" name="Salesperson" queryTableFieldId="9" dataDxf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A35F7D-1076-4B59-A42A-2DE5616E8584}" name="Merge1_1" displayName="Merge1_1" ref="A1:O36" tableType="queryTable" totalsRowShown="0">
  <autoFilter ref="A1:O36" xr:uid="{CBA35F7D-1076-4B59-A42A-2DE5616E8584}"/>
  <tableColumns count="15">
    <tableColumn id="1" xr3:uid="{6E145A72-E5BA-45F0-BAF4-0EFEBA8DA7D2}" uniqueName="1" name="Transaction_ID" queryTableFieldId="1"/>
    <tableColumn id="2" xr3:uid="{5EA74B23-C8DE-4FA8-B3F8-EC5079E81845}" uniqueName="2" name="Date" queryTableFieldId="2" dataDxfId="16"/>
    <tableColumn id="3" xr3:uid="{9CCD2375-9665-4CD1-9CA9-18BCE19AA282}" uniqueName="3" name="Customer" queryTableFieldId="3" dataDxfId="15"/>
    <tableColumn id="4" xr3:uid="{19D6D32C-9C50-4CB0-B2AB-749D17D878E1}" uniqueName="4" name="Product" queryTableFieldId="4" dataDxfId="14"/>
    <tableColumn id="5" xr3:uid="{3C7BC706-9F28-4330-A49A-ED80435B32FD}" uniqueName="5" name="Category" queryTableFieldId="5" dataDxfId="13"/>
    <tableColumn id="6" xr3:uid="{EFE78E06-25AC-4564-9D72-3E2686359CDC}" uniqueName="6" name="Quantity" queryTableFieldId="6"/>
    <tableColumn id="7" xr3:uid="{0D627C3C-B890-4EE7-A974-674928580474}" uniqueName="7" name="Unit_Price" queryTableFieldId="7" dataDxfId="12" dataCellStyle="Currency"/>
    <tableColumn id="8" xr3:uid="{A7B1D82D-0413-445B-875A-0BA1D5953527}" uniqueName="8" name="Payment_Method" queryTableFieldId="8" dataDxfId="11"/>
    <tableColumn id="9" xr3:uid="{B122A186-0A79-49F4-9624-0417C388234B}" uniqueName="9" name="Salesperson" queryTableFieldId="9" dataDxfId="10"/>
    <tableColumn id="10" xr3:uid="{52732422-EE21-4C6D-A0DF-FF3A9804900F}" uniqueName="10" name="Table (2).Column1" queryTableFieldId="10" dataDxfId="9"/>
    <tableColumn id="11" xr3:uid="{70E932E0-1B3C-48A1-B154-E85A924D3B2D}" uniqueName="11" name="Table (2).Column2" queryTableFieldId="11" dataCellStyle="Currency"/>
    <tableColumn id="12" xr3:uid="{535AC849-9752-40EA-83FD-FE6D1987063E}" uniqueName="12" name="Revenue" queryTableFieldId="12" dataDxfId="8">
      <calculatedColumnFormula>Merge1_1[[#This Row],[Unit_Price]]*Merge1_1[[#This Row],[Quantity]]</calculatedColumnFormula>
    </tableColumn>
    <tableColumn id="13" xr3:uid="{467F8BFF-BDF0-4DD3-B596-6CA38CA20B3C}" uniqueName="13" name="Cost of goods sold" queryTableFieldId="13" dataDxfId="7">
      <calculatedColumnFormula>Merge1_1[[#This Row],[Table (2).Column2]]*Merge1_1[[#This Row],[Quantity]]</calculatedColumnFormula>
    </tableColumn>
    <tableColumn id="14" xr3:uid="{6F25D703-2042-40D5-B927-7C496AE2511A}" uniqueName="14" name="Gross profit" queryTableFieldId="14" dataDxfId="6">
      <calculatedColumnFormula>Merge1_1[[#This Row],[Revenue]]-Merge1_1[[#This Row],[Cost of goods sold]]</calculatedColumnFormula>
    </tableColumn>
    <tableColumn id="15" xr3:uid="{165CC6E9-0D7A-4ABF-9E85-51E6D8551737}" uniqueName="15" name="GP margin" queryTableFieldId="15" dataCellStyle="Percent">
      <calculatedColumnFormula>Merge1_1[[#This Row],[Gross profit]]/Merge1_1[[#This Row],[Revenue]]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64DC-69D2-4B77-94CE-E198B8DB4BDF}">
  <dimension ref="A1:I26"/>
  <sheetViews>
    <sheetView topLeftCell="A8" workbookViewId="0">
      <selection activeCell="J14" sqref="J14"/>
    </sheetView>
  </sheetViews>
  <sheetFormatPr defaultRowHeight="15" x14ac:dyDescent="0.25"/>
  <cols>
    <col min="2" max="2" width="10.42578125" bestFit="1" customWidth="1"/>
    <col min="3" max="3" width="13.85546875" bestFit="1" customWidth="1"/>
    <col min="4" max="4" width="15" bestFit="1" customWidth="1"/>
    <col min="5" max="5" width="11.5703125" bestFit="1" customWidth="1"/>
  </cols>
  <sheetData>
    <row r="1" spans="1:9" x14ac:dyDescent="0.25">
      <c r="A1" t="s">
        <v>0</v>
      </c>
      <c r="B1" t="s">
        <v>1</v>
      </c>
      <c r="C1" t="s">
        <v>2</v>
      </c>
      <c r="D1" t="s">
        <v>3</v>
      </c>
      <c r="E1" t="s">
        <v>4</v>
      </c>
      <c r="F1" t="s">
        <v>5</v>
      </c>
      <c r="G1" t="s">
        <v>6</v>
      </c>
      <c r="H1" t="s">
        <v>7</v>
      </c>
      <c r="I1" t="s">
        <v>8</v>
      </c>
    </row>
    <row r="2" spans="1:9" x14ac:dyDescent="0.25">
      <c r="A2">
        <v>1001</v>
      </c>
      <c r="B2" s="1">
        <v>46235</v>
      </c>
      <c r="C2" t="s">
        <v>9</v>
      </c>
      <c r="D2" t="s">
        <v>10</v>
      </c>
      <c r="E2" t="s">
        <v>11</v>
      </c>
      <c r="F2">
        <v>2</v>
      </c>
      <c r="G2">
        <v>2500</v>
      </c>
      <c r="H2" t="s">
        <v>12</v>
      </c>
      <c r="I2" t="s">
        <v>13</v>
      </c>
    </row>
    <row r="3" spans="1:9" x14ac:dyDescent="0.25">
      <c r="A3">
        <v>1002</v>
      </c>
      <c r="B3" s="1">
        <v>46235</v>
      </c>
      <c r="C3" t="s">
        <v>14</v>
      </c>
      <c r="D3" t="s">
        <v>15</v>
      </c>
      <c r="E3" t="s">
        <v>16</v>
      </c>
      <c r="F3">
        <v>3</v>
      </c>
      <c r="G3">
        <v>500</v>
      </c>
      <c r="H3" t="s">
        <v>17</v>
      </c>
      <c r="I3" t="s">
        <v>18</v>
      </c>
    </row>
    <row r="4" spans="1:9" x14ac:dyDescent="0.25">
      <c r="A4">
        <v>1003</v>
      </c>
      <c r="B4" s="1">
        <v>46236</v>
      </c>
      <c r="C4" t="s">
        <v>19</v>
      </c>
      <c r="D4" t="s">
        <v>10</v>
      </c>
      <c r="E4" t="s">
        <v>11</v>
      </c>
      <c r="F4">
        <v>1</v>
      </c>
      <c r="G4">
        <v>2500</v>
      </c>
      <c r="H4" t="s">
        <v>20</v>
      </c>
      <c r="I4" t="s">
        <v>13</v>
      </c>
    </row>
    <row r="5" spans="1:9" x14ac:dyDescent="0.25">
      <c r="A5">
        <v>1004</v>
      </c>
      <c r="B5" s="1">
        <v>46237</v>
      </c>
      <c r="C5" t="s">
        <v>21</v>
      </c>
      <c r="D5" t="s">
        <v>22</v>
      </c>
      <c r="E5" t="s">
        <v>23</v>
      </c>
      <c r="F5">
        <v>2</v>
      </c>
      <c r="G5">
        <v>1200</v>
      </c>
      <c r="H5" t="s">
        <v>12</v>
      </c>
      <c r="I5" t="s">
        <v>13</v>
      </c>
    </row>
    <row r="6" spans="1:9" x14ac:dyDescent="0.25">
      <c r="A6">
        <v>1005</v>
      </c>
      <c r="B6" s="1">
        <v>46237</v>
      </c>
      <c r="C6" t="s">
        <v>24</v>
      </c>
      <c r="D6" t="s">
        <v>25</v>
      </c>
      <c r="E6" t="s">
        <v>23</v>
      </c>
      <c r="F6">
        <v>1</v>
      </c>
      <c r="G6">
        <v>1800</v>
      </c>
      <c r="H6" t="s">
        <v>17</v>
      </c>
      <c r="I6" t="s">
        <v>18</v>
      </c>
    </row>
    <row r="7" spans="1:9" x14ac:dyDescent="0.25">
      <c r="A7">
        <v>1006</v>
      </c>
      <c r="B7" s="1">
        <v>46238</v>
      </c>
      <c r="C7" t="s">
        <v>26</v>
      </c>
      <c r="D7" t="s">
        <v>15</v>
      </c>
      <c r="E7" t="s">
        <v>11</v>
      </c>
      <c r="F7">
        <v>5</v>
      </c>
      <c r="G7">
        <v>500</v>
      </c>
      <c r="H7" t="s">
        <v>27</v>
      </c>
      <c r="I7" t="s">
        <v>18</v>
      </c>
    </row>
    <row r="8" spans="1:9" x14ac:dyDescent="0.25">
      <c r="A8">
        <v>1007</v>
      </c>
      <c r="B8" s="1">
        <v>46238</v>
      </c>
      <c r="C8" t="s">
        <v>9</v>
      </c>
      <c r="D8" t="s">
        <v>10</v>
      </c>
      <c r="E8" t="s">
        <v>11</v>
      </c>
      <c r="F8">
        <v>2</v>
      </c>
      <c r="G8">
        <v>2500</v>
      </c>
      <c r="H8" t="s">
        <v>12</v>
      </c>
      <c r="I8" t="s">
        <v>13</v>
      </c>
    </row>
    <row r="9" spans="1:9" x14ac:dyDescent="0.25">
      <c r="A9">
        <v>1008</v>
      </c>
      <c r="B9" s="1">
        <v>46239</v>
      </c>
      <c r="C9" t="s">
        <v>14</v>
      </c>
      <c r="D9" t="s">
        <v>22</v>
      </c>
      <c r="E9" t="s">
        <v>28</v>
      </c>
      <c r="F9">
        <v>1</v>
      </c>
      <c r="G9">
        <v>1200</v>
      </c>
      <c r="H9" t="s">
        <v>17</v>
      </c>
      <c r="I9" t="s">
        <v>13</v>
      </c>
    </row>
    <row r="10" spans="1:9" x14ac:dyDescent="0.25">
      <c r="A10">
        <v>1009</v>
      </c>
      <c r="B10" s="1">
        <v>46239</v>
      </c>
      <c r="C10" t="s">
        <v>21</v>
      </c>
      <c r="D10" t="s">
        <v>29</v>
      </c>
      <c r="E10" t="s">
        <v>23</v>
      </c>
      <c r="F10">
        <v>2</v>
      </c>
      <c r="G10">
        <v>1800</v>
      </c>
      <c r="H10" t="s">
        <v>12</v>
      </c>
      <c r="I10" t="s">
        <v>18</v>
      </c>
    </row>
    <row r="11" spans="1:9" x14ac:dyDescent="0.25">
      <c r="A11">
        <v>1010</v>
      </c>
      <c r="B11" s="1">
        <v>46240</v>
      </c>
      <c r="C11" t="s">
        <v>24</v>
      </c>
      <c r="D11" t="s">
        <v>15</v>
      </c>
      <c r="E11" t="s">
        <v>11</v>
      </c>
      <c r="F11">
        <v>4</v>
      </c>
      <c r="G11">
        <v>500</v>
      </c>
      <c r="H11" t="s">
        <v>17</v>
      </c>
      <c r="I11" t="s">
        <v>18</v>
      </c>
    </row>
    <row r="12" spans="1:9" x14ac:dyDescent="0.25">
      <c r="A12">
        <v>1011</v>
      </c>
      <c r="B12" s="1">
        <v>46240</v>
      </c>
      <c r="C12" t="s">
        <v>26</v>
      </c>
      <c r="D12" t="s">
        <v>10</v>
      </c>
      <c r="E12" t="s">
        <v>11</v>
      </c>
      <c r="F12">
        <v>1</v>
      </c>
      <c r="G12">
        <v>2500</v>
      </c>
      <c r="H12" t="s">
        <v>20</v>
      </c>
      <c r="I12" t="s">
        <v>13</v>
      </c>
    </row>
    <row r="13" spans="1:9" x14ac:dyDescent="0.25">
      <c r="A13">
        <v>1012</v>
      </c>
      <c r="B13" s="1">
        <v>46241</v>
      </c>
      <c r="C13" t="s">
        <v>9</v>
      </c>
      <c r="D13" t="s">
        <v>22</v>
      </c>
      <c r="E13" t="s">
        <v>23</v>
      </c>
      <c r="F13">
        <v>2</v>
      </c>
      <c r="G13">
        <v>1200</v>
      </c>
      <c r="H13" t="s">
        <v>12</v>
      </c>
      <c r="I13" t="s">
        <v>13</v>
      </c>
    </row>
    <row r="14" spans="1:9" x14ac:dyDescent="0.25">
      <c r="A14">
        <v>1013</v>
      </c>
      <c r="B14" s="1">
        <v>46242</v>
      </c>
      <c r="C14" t="s">
        <v>14</v>
      </c>
      <c r="D14" t="s">
        <v>25</v>
      </c>
      <c r="E14" t="s">
        <v>28</v>
      </c>
      <c r="F14">
        <v>1</v>
      </c>
      <c r="G14">
        <v>1800</v>
      </c>
      <c r="H14" t="s">
        <v>17</v>
      </c>
      <c r="I14" t="s">
        <v>18</v>
      </c>
    </row>
    <row r="15" spans="1:9" x14ac:dyDescent="0.25">
      <c r="A15">
        <v>1014</v>
      </c>
      <c r="B15" s="1">
        <v>46242</v>
      </c>
      <c r="C15" t="s">
        <v>21</v>
      </c>
      <c r="D15" t="s">
        <v>15</v>
      </c>
      <c r="E15" t="s">
        <v>11</v>
      </c>
      <c r="F15">
        <v>3</v>
      </c>
      <c r="G15">
        <v>500</v>
      </c>
      <c r="H15" t="s">
        <v>27</v>
      </c>
      <c r="I15" t="s">
        <v>18</v>
      </c>
    </row>
    <row r="16" spans="1:9" x14ac:dyDescent="0.25">
      <c r="A16">
        <v>1015</v>
      </c>
      <c r="B16" s="1">
        <v>46243</v>
      </c>
      <c r="C16" t="s">
        <v>24</v>
      </c>
      <c r="D16" t="s">
        <v>10</v>
      </c>
      <c r="E16" t="s">
        <v>11</v>
      </c>
      <c r="F16">
        <v>2</v>
      </c>
      <c r="G16">
        <v>2500</v>
      </c>
      <c r="H16" t="s">
        <v>12</v>
      </c>
      <c r="I16" t="s">
        <v>13</v>
      </c>
    </row>
    <row r="17" spans="1:9" x14ac:dyDescent="0.25">
      <c r="A17">
        <v>1016</v>
      </c>
      <c r="B17" s="1">
        <v>46244</v>
      </c>
      <c r="C17" t="s">
        <v>26</v>
      </c>
      <c r="D17" t="s">
        <v>22</v>
      </c>
      <c r="E17" t="s">
        <v>23</v>
      </c>
      <c r="F17">
        <v>1</v>
      </c>
      <c r="G17">
        <v>1200</v>
      </c>
      <c r="H17" t="s">
        <v>17</v>
      </c>
      <c r="I17" t="s">
        <v>13</v>
      </c>
    </row>
    <row r="18" spans="1:9" x14ac:dyDescent="0.25">
      <c r="A18">
        <v>1017</v>
      </c>
      <c r="B18" s="1">
        <v>46244</v>
      </c>
      <c r="C18" t="s">
        <v>9</v>
      </c>
      <c r="D18" t="s">
        <v>15</v>
      </c>
      <c r="E18" t="s">
        <v>11</v>
      </c>
      <c r="F18">
        <v>6</v>
      </c>
      <c r="G18">
        <v>500</v>
      </c>
      <c r="H18" t="s">
        <v>12</v>
      </c>
      <c r="I18" t="s">
        <v>18</v>
      </c>
    </row>
    <row r="19" spans="1:9" x14ac:dyDescent="0.25">
      <c r="A19">
        <v>1018</v>
      </c>
      <c r="B19" s="1">
        <v>46245</v>
      </c>
      <c r="C19" t="s">
        <v>14</v>
      </c>
      <c r="D19" t="s">
        <v>10</v>
      </c>
      <c r="E19" t="s">
        <v>11</v>
      </c>
      <c r="F19">
        <v>1</v>
      </c>
      <c r="G19">
        <v>2500</v>
      </c>
      <c r="H19" t="s">
        <v>17</v>
      </c>
      <c r="I19" t="s">
        <v>13</v>
      </c>
    </row>
    <row r="20" spans="1:9" x14ac:dyDescent="0.25">
      <c r="A20">
        <v>1019</v>
      </c>
      <c r="B20" s="1">
        <v>46246</v>
      </c>
      <c r="C20" t="s">
        <v>21</v>
      </c>
      <c r="D20" t="s">
        <v>25</v>
      </c>
      <c r="E20" t="s">
        <v>23</v>
      </c>
      <c r="F20">
        <v>2</v>
      </c>
      <c r="G20">
        <v>1800</v>
      </c>
      <c r="H20" t="s">
        <v>12</v>
      </c>
      <c r="I20" t="s">
        <v>18</v>
      </c>
    </row>
    <row r="21" spans="1:9" x14ac:dyDescent="0.25">
      <c r="A21">
        <v>1020</v>
      </c>
      <c r="B21" s="1">
        <v>46246</v>
      </c>
      <c r="C21" t="s">
        <v>24</v>
      </c>
      <c r="D21" t="s">
        <v>22</v>
      </c>
      <c r="E21" t="s">
        <v>28</v>
      </c>
      <c r="F21">
        <v>3</v>
      </c>
      <c r="G21">
        <v>1200</v>
      </c>
      <c r="H21" t="s">
        <v>20</v>
      </c>
      <c r="I21" t="s">
        <v>13</v>
      </c>
    </row>
    <row r="22" spans="1:9" x14ac:dyDescent="0.25">
      <c r="A22">
        <v>1021</v>
      </c>
      <c r="B22" s="1">
        <v>46247</v>
      </c>
      <c r="C22" t="s">
        <v>26</v>
      </c>
      <c r="D22" t="s">
        <v>15</v>
      </c>
      <c r="E22" t="s">
        <v>11</v>
      </c>
      <c r="F22">
        <v>2</v>
      </c>
      <c r="G22">
        <v>500</v>
      </c>
      <c r="H22" t="s">
        <v>27</v>
      </c>
      <c r="I22" t="s">
        <v>18</v>
      </c>
    </row>
    <row r="23" spans="1:9" x14ac:dyDescent="0.25">
      <c r="A23">
        <v>1022</v>
      </c>
      <c r="B23" s="1">
        <v>46248</v>
      </c>
      <c r="C23" t="s">
        <v>9</v>
      </c>
      <c r="D23" t="s">
        <v>10</v>
      </c>
      <c r="E23" t="s">
        <v>11</v>
      </c>
      <c r="F23">
        <v>1</v>
      </c>
      <c r="G23">
        <v>2500</v>
      </c>
      <c r="H23" t="s">
        <v>12</v>
      </c>
      <c r="I23" t="s">
        <v>13</v>
      </c>
    </row>
    <row r="24" spans="1:9" x14ac:dyDescent="0.25">
      <c r="A24">
        <v>1023</v>
      </c>
      <c r="B24" s="1">
        <v>46248</v>
      </c>
      <c r="C24" t="s">
        <v>14</v>
      </c>
      <c r="D24" t="s">
        <v>22</v>
      </c>
      <c r="E24" t="s">
        <v>23</v>
      </c>
      <c r="F24">
        <v>2</v>
      </c>
      <c r="G24">
        <v>1200</v>
      </c>
      <c r="H24" t="s">
        <v>17</v>
      </c>
      <c r="I24" t="s">
        <v>13</v>
      </c>
    </row>
    <row r="25" spans="1:9" x14ac:dyDescent="0.25">
      <c r="A25">
        <v>1024</v>
      </c>
      <c r="B25" s="1">
        <v>46249</v>
      </c>
      <c r="C25" t="s">
        <v>21</v>
      </c>
      <c r="D25" t="s">
        <v>29</v>
      </c>
      <c r="E25" t="s">
        <v>23</v>
      </c>
      <c r="F25">
        <v>1</v>
      </c>
      <c r="G25">
        <v>1800</v>
      </c>
      <c r="H25" t="s">
        <v>12</v>
      </c>
      <c r="I25" t="s">
        <v>18</v>
      </c>
    </row>
    <row r="26" spans="1:9" x14ac:dyDescent="0.25">
      <c r="A26">
        <v>1025</v>
      </c>
      <c r="B26" s="1">
        <v>46249</v>
      </c>
      <c r="C26" t="s">
        <v>24</v>
      </c>
      <c r="D26" t="s">
        <v>15</v>
      </c>
      <c r="E26" t="s">
        <v>11</v>
      </c>
      <c r="F26">
        <v>5</v>
      </c>
      <c r="G26">
        <v>500</v>
      </c>
      <c r="H26" t="s">
        <v>17</v>
      </c>
      <c r="I26"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4D3A5-A37E-44B1-8662-55586183C455}">
  <dimension ref="C1:L28"/>
  <sheetViews>
    <sheetView zoomScale="70" zoomScaleNormal="70" workbookViewId="0">
      <selection activeCell="M3" sqref="M3"/>
    </sheetView>
  </sheetViews>
  <sheetFormatPr defaultRowHeight="15" x14ac:dyDescent="0.25"/>
  <cols>
    <col min="3" max="3" width="16.7109375" bestFit="1" customWidth="1"/>
    <col min="4" max="4" width="10.42578125" bestFit="1" customWidth="1"/>
    <col min="5" max="5" width="13.85546875" bestFit="1" customWidth="1"/>
    <col min="6" max="6" width="15" bestFit="1" customWidth="1"/>
    <col min="7" max="7" width="11.5703125" bestFit="1" customWidth="1"/>
    <col min="8" max="8" width="11" bestFit="1" customWidth="1"/>
    <col min="9" max="9" width="13.85546875" style="2" bestFit="1" customWidth="1"/>
    <col min="10" max="10" width="19" bestFit="1" customWidth="1"/>
    <col min="11" max="11" width="14.42578125" bestFit="1" customWidth="1"/>
    <col min="12" max="12" width="14.28515625" style="2" bestFit="1" customWidth="1"/>
  </cols>
  <sheetData>
    <row r="1" spans="3:12" x14ac:dyDescent="0.25">
      <c r="D1" s="15" t="s">
        <v>30</v>
      </c>
      <c r="E1" s="16"/>
      <c r="F1" s="16"/>
      <c r="G1" s="16"/>
      <c r="H1" s="16"/>
      <c r="I1" s="16"/>
      <c r="J1" s="16"/>
    </row>
    <row r="2" spans="3:12" x14ac:dyDescent="0.25">
      <c r="D2" s="16"/>
      <c r="E2" s="16"/>
      <c r="F2" s="16"/>
      <c r="G2" s="16"/>
      <c r="H2" s="16"/>
      <c r="I2" s="16"/>
      <c r="J2" s="16"/>
    </row>
    <row r="3" spans="3:12" x14ac:dyDescent="0.25">
      <c r="C3" t="s">
        <v>0</v>
      </c>
      <c r="D3" t="s">
        <v>1</v>
      </c>
      <c r="E3" t="s">
        <v>2</v>
      </c>
      <c r="F3" t="s">
        <v>3</v>
      </c>
      <c r="G3" t="s">
        <v>4</v>
      </c>
      <c r="H3" t="s">
        <v>5</v>
      </c>
      <c r="I3" s="2" t="s">
        <v>6</v>
      </c>
      <c r="J3" t="s">
        <v>7</v>
      </c>
      <c r="K3" t="s">
        <v>8</v>
      </c>
      <c r="L3" s="2" t="s">
        <v>31</v>
      </c>
    </row>
    <row r="4" spans="3:12" x14ac:dyDescent="0.25">
      <c r="C4">
        <v>1001</v>
      </c>
      <c r="D4" s="1">
        <v>46235</v>
      </c>
      <c r="E4" t="s">
        <v>9</v>
      </c>
      <c r="F4" t="s">
        <v>10</v>
      </c>
      <c r="G4" t="s">
        <v>11</v>
      </c>
      <c r="H4">
        <v>2</v>
      </c>
      <c r="I4" s="2">
        <v>2500</v>
      </c>
      <c r="J4" t="s">
        <v>12</v>
      </c>
      <c r="K4" t="s">
        <v>13</v>
      </c>
      <c r="L4" s="2">
        <f>Table[[#This Row],[Unit_Price]]*Table[[#This Row],[Quantity]]</f>
        <v>5000</v>
      </c>
    </row>
    <row r="5" spans="3:12" x14ac:dyDescent="0.25">
      <c r="C5">
        <v>1002</v>
      </c>
      <c r="D5" s="1">
        <v>46235</v>
      </c>
      <c r="E5" t="s">
        <v>14</v>
      </c>
      <c r="F5" t="s">
        <v>15</v>
      </c>
      <c r="G5" t="s">
        <v>11</v>
      </c>
      <c r="H5">
        <v>3</v>
      </c>
      <c r="I5" s="2">
        <v>500</v>
      </c>
      <c r="J5" t="s">
        <v>17</v>
      </c>
      <c r="K5" t="s">
        <v>18</v>
      </c>
      <c r="L5" s="2">
        <f>Table[[#This Row],[Unit_Price]]*Table[[#This Row],[Quantity]]</f>
        <v>1500</v>
      </c>
    </row>
    <row r="6" spans="3:12" x14ac:dyDescent="0.25">
      <c r="C6">
        <v>1003</v>
      </c>
      <c r="D6" s="1">
        <v>46236</v>
      </c>
      <c r="E6" t="s">
        <v>19</v>
      </c>
      <c r="F6" t="s">
        <v>10</v>
      </c>
      <c r="G6" t="s">
        <v>11</v>
      </c>
      <c r="H6">
        <v>1</v>
      </c>
      <c r="I6" s="2">
        <v>2500</v>
      </c>
      <c r="J6" t="s">
        <v>17</v>
      </c>
      <c r="K6" t="s">
        <v>13</v>
      </c>
      <c r="L6" s="2">
        <f>Table[[#This Row],[Unit_Price]]*Table[[#This Row],[Quantity]]</f>
        <v>2500</v>
      </c>
    </row>
    <row r="7" spans="3:12" x14ac:dyDescent="0.25">
      <c r="C7">
        <v>1004</v>
      </c>
      <c r="D7" s="1">
        <v>46237</v>
      </c>
      <c r="E7" t="s">
        <v>21</v>
      </c>
      <c r="F7" t="s">
        <v>22</v>
      </c>
      <c r="G7" t="s">
        <v>23</v>
      </c>
      <c r="H7">
        <v>2</v>
      </c>
      <c r="I7" s="2">
        <v>1200</v>
      </c>
      <c r="J7" t="s">
        <v>12</v>
      </c>
      <c r="K7" t="s">
        <v>13</v>
      </c>
      <c r="L7" s="2">
        <f>Table[[#This Row],[Unit_Price]]*Table[[#This Row],[Quantity]]</f>
        <v>2400</v>
      </c>
    </row>
    <row r="8" spans="3:12" x14ac:dyDescent="0.25">
      <c r="C8">
        <v>1005</v>
      </c>
      <c r="D8" s="1">
        <v>46237</v>
      </c>
      <c r="E8" t="s">
        <v>24</v>
      </c>
      <c r="F8" t="s">
        <v>29</v>
      </c>
      <c r="G8" t="s">
        <v>23</v>
      </c>
      <c r="H8">
        <v>1</v>
      </c>
      <c r="I8" s="2">
        <v>1800</v>
      </c>
      <c r="J8" t="s">
        <v>17</v>
      </c>
      <c r="K8" t="s">
        <v>18</v>
      </c>
      <c r="L8" s="2">
        <f>Table[[#This Row],[Unit_Price]]*Table[[#This Row],[Quantity]]</f>
        <v>1800</v>
      </c>
    </row>
    <row r="9" spans="3:12" x14ac:dyDescent="0.25">
      <c r="C9">
        <v>1006</v>
      </c>
      <c r="D9" s="1">
        <v>46238</v>
      </c>
      <c r="E9" t="s">
        <v>26</v>
      </c>
      <c r="F9" t="s">
        <v>15</v>
      </c>
      <c r="G9" t="s">
        <v>11</v>
      </c>
      <c r="H9">
        <v>5</v>
      </c>
      <c r="I9" s="2">
        <v>500</v>
      </c>
      <c r="J9" t="s">
        <v>17</v>
      </c>
      <c r="K9" t="s">
        <v>18</v>
      </c>
      <c r="L9" s="2">
        <f>Table[[#This Row],[Unit_Price]]*Table[[#This Row],[Quantity]]</f>
        <v>2500</v>
      </c>
    </row>
    <row r="10" spans="3:12" x14ac:dyDescent="0.25">
      <c r="C10">
        <v>1007</v>
      </c>
      <c r="D10" s="1">
        <v>46238</v>
      </c>
      <c r="E10" t="s">
        <v>9</v>
      </c>
      <c r="F10" t="s">
        <v>10</v>
      </c>
      <c r="G10" t="s">
        <v>11</v>
      </c>
      <c r="H10">
        <v>2</v>
      </c>
      <c r="I10" s="2">
        <v>2500</v>
      </c>
      <c r="J10" t="s">
        <v>12</v>
      </c>
      <c r="K10" t="s">
        <v>13</v>
      </c>
      <c r="L10" s="2">
        <f>Table[[#This Row],[Unit_Price]]*Table[[#This Row],[Quantity]]</f>
        <v>5000</v>
      </c>
    </row>
    <row r="11" spans="3:12" x14ac:dyDescent="0.25">
      <c r="C11">
        <v>1008</v>
      </c>
      <c r="D11" s="1">
        <v>46239</v>
      </c>
      <c r="E11" t="s">
        <v>14</v>
      </c>
      <c r="F11" t="s">
        <v>22</v>
      </c>
      <c r="G11" t="s">
        <v>23</v>
      </c>
      <c r="H11">
        <v>1</v>
      </c>
      <c r="I11" s="2">
        <v>1200</v>
      </c>
      <c r="J11" t="s">
        <v>17</v>
      </c>
      <c r="K11" t="s">
        <v>13</v>
      </c>
      <c r="L11" s="2">
        <f>Table[[#This Row],[Unit_Price]]*Table[[#This Row],[Quantity]]</f>
        <v>1200</v>
      </c>
    </row>
    <row r="12" spans="3:12" x14ac:dyDescent="0.25">
      <c r="C12">
        <v>1009</v>
      </c>
      <c r="D12" s="1">
        <v>46239</v>
      </c>
      <c r="E12" t="s">
        <v>21</v>
      </c>
      <c r="F12" t="s">
        <v>29</v>
      </c>
      <c r="G12" t="s">
        <v>23</v>
      </c>
      <c r="H12">
        <v>2</v>
      </c>
      <c r="I12" s="2">
        <v>1800</v>
      </c>
      <c r="J12" t="s">
        <v>12</v>
      </c>
      <c r="K12" t="s">
        <v>18</v>
      </c>
      <c r="L12" s="2">
        <f>Table[[#This Row],[Unit_Price]]*Table[[#This Row],[Quantity]]</f>
        <v>3600</v>
      </c>
    </row>
    <row r="13" spans="3:12" x14ac:dyDescent="0.25">
      <c r="C13">
        <v>1010</v>
      </c>
      <c r="D13" s="1">
        <v>46240</v>
      </c>
      <c r="E13" t="s">
        <v>24</v>
      </c>
      <c r="F13" t="s">
        <v>15</v>
      </c>
      <c r="G13" t="s">
        <v>11</v>
      </c>
      <c r="H13">
        <v>4</v>
      </c>
      <c r="I13" s="2">
        <v>500</v>
      </c>
      <c r="J13" t="s">
        <v>17</v>
      </c>
      <c r="K13" t="s">
        <v>18</v>
      </c>
      <c r="L13" s="2">
        <f>Table[[#This Row],[Unit_Price]]*Table[[#This Row],[Quantity]]</f>
        <v>2000</v>
      </c>
    </row>
    <row r="14" spans="3:12" x14ac:dyDescent="0.25">
      <c r="C14">
        <v>1011</v>
      </c>
      <c r="D14" s="1">
        <v>46240</v>
      </c>
      <c r="E14" t="s">
        <v>26</v>
      </c>
      <c r="F14" t="s">
        <v>10</v>
      </c>
      <c r="G14" t="s">
        <v>11</v>
      </c>
      <c r="H14">
        <v>1</v>
      </c>
      <c r="I14" s="2">
        <v>2500</v>
      </c>
      <c r="J14" t="s">
        <v>17</v>
      </c>
      <c r="K14" t="s">
        <v>13</v>
      </c>
      <c r="L14" s="2">
        <f>Table[[#This Row],[Unit_Price]]*Table[[#This Row],[Quantity]]</f>
        <v>2500</v>
      </c>
    </row>
    <row r="15" spans="3:12" x14ac:dyDescent="0.25">
      <c r="C15">
        <v>1012</v>
      </c>
      <c r="D15" s="1">
        <v>46241</v>
      </c>
      <c r="E15" t="s">
        <v>9</v>
      </c>
      <c r="F15" t="s">
        <v>22</v>
      </c>
      <c r="G15" t="s">
        <v>23</v>
      </c>
      <c r="H15">
        <v>2</v>
      </c>
      <c r="I15" s="2">
        <v>1200</v>
      </c>
      <c r="J15" t="s">
        <v>12</v>
      </c>
      <c r="K15" t="s">
        <v>13</v>
      </c>
      <c r="L15" s="2">
        <f>Table[[#This Row],[Unit_Price]]*Table[[#This Row],[Quantity]]</f>
        <v>2400</v>
      </c>
    </row>
    <row r="16" spans="3:12" x14ac:dyDescent="0.25">
      <c r="C16">
        <v>1013</v>
      </c>
      <c r="D16" s="1">
        <v>46242</v>
      </c>
      <c r="E16" t="s">
        <v>14</v>
      </c>
      <c r="F16" t="s">
        <v>29</v>
      </c>
      <c r="G16" t="s">
        <v>23</v>
      </c>
      <c r="H16">
        <v>1</v>
      </c>
      <c r="I16" s="2">
        <v>1800</v>
      </c>
      <c r="J16" t="s">
        <v>17</v>
      </c>
      <c r="K16" t="s">
        <v>18</v>
      </c>
      <c r="L16" s="2">
        <f>Table[[#This Row],[Unit_Price]]*Table[[#This Row],[Quantity]]</f>
        <v>1800</v>
      </c>
    </row>
    <row r="17" spans="3:12" x14ac:dyDescent="0.25">
      <c r="C17">
        <v>1014</v>
      </c>
      <c r="D17" s="1">
        <v>46242</v>
      </c>
      <c r="E17" t="s">
        <v>21</v>
      </c>
      <c r="F17" t="s">
        <v>15</v>
      </c>
      <c r="G17" t="s">
        <v>11</v>
      </c>
      <c r="H17">
        <v>3</v>
      </c>
      <c r="I17" s="2">
        <v>500</v>
      </c>
      <c r="J17" t="s">
        <v>17</v>
      </c>
      <c r="K17" t="s">
        <v>18</v>
      </c>
      <c r="L17" s="2">
        <f>Table[[#This Row],[Unit_Price]]*Table[[#This Row],[Quantity]]</f>
        <v>1500</v>
      </c>
    </row>
    <row r="18" spans="3:12" x14ac:dyDescent="0.25">
      <c r="C18">
        <v>1015</v>
      </c>
      <c r="D18" s="1">
        <v>46243</v>
      </c>
      <c r="E18" t="s">
        <v>24</v>
      </c>
      <c r="F18" t="s">
        <v>10</v>
      </c>
      <c r="G18" t="s">
        <v>11</v>
      </c>
      <c r="H18">
        <v>2</v>
      </c>
      <c r="I18" s="2">
        <v>2500</v>
      </c>
      <c r="J18" t="s">
        <v>12</v>
      </c>
      <c r="K18" t="s">
        <v>13</v>
      </c>
      <c r="L18" s="2">
        <f>Table[[#This Row],[Unit_Price]]*Table[[#This Row],[Quantity]]</f>
        <v>5000</v>
      </c>
    </row>
    <row r="19" spans="3:12" x14ac:dyDescent="0.25">
      <c r="C19">
        <v>1016</v>
      </c>
      <c r="D19" s="1">
        <v>46244</v>
      </c>
      <c r="E19" t="s">
        <v>26</v>
      </c>
      <c r="F19" t="s">
        <v>22</v>
      </c>
      <c r="G19" t="s">
        <v>23</v>
      </c>
      <c r="H19">
        <v>1</v>
      </c>
      <c r="I19" s="2">
        <v>1200</v>
      </c>
      <c r="J19" t="s">
        <v>17</v>
      </c>
      <c r="K19" t="s">
        <v>13</v>
      </c>
      <c r="L19" s="2">
        <f>Table[[#This Row],[Unit_Price]]*Table[[#This Row],[Quantity]]</f>
        <v>1200</v>
      </c>
    </row>
    <row r="20" spans="3:12" x14ac:dyDescent="0.25">
      <c r="C20">
        <v>1017</v>
      </c>
      <c r="D20" s="1">
        <v>46244</v>
      </c>
      <c r="E20" t="s">
        <v>9</v>
      </c>
      <c r="F20" t="s">
        <v>15</v>
      </c>
      <c r="G20" t="s">
        <v>11</v>
      </c>
      <c r="H20">
        <v>6</v>
      </c>
      <c r="I20" s="2">
        <v>500</v>
      </c>
      <c r="J20" t="s">
        <v>12</v>
      </c>
      <c r="K20" t="s">
        <v>18</v>
      </c>
      <c r="L20" s="2">
        <f>Table[[#This Row],[Unit_Price]]*Table[[#This Row],[Quantity]]</f>
        <v>3000</v>
      </c>
    </row>
    <row r="21" spans="3:12" x14ac:dyDescent="0.25">
      <c r="C21">
        <v>1018</v>
      </c>
      <c r="D21" s="1">
        <v>46245</v>
      </c>
      <c r="E21" t="s">
        <v>14</v>
      </c>
      <c r="F21" t="s">
        <v>10</v>
      </c>
      <c r="G21" t="s">
        <v>11</v>
      </c>
      <c r="H21">
        <v>1</v>
      </c>
      <c r="I21" s="2">
        <v>2500</v>
      </c>
      <c r="J21" t="s">
        <v>17</v>
      </c>
      <c r="K21" t="s">
        <v>13</v>
      </c>
      <c r="L21" s="2">
        <f>Table[[#This Row],[Unit_Price]]*Table[[#This Row],[Quantity]]</f>
        <v>2500</v>
      </c>
    </row>
    <row r="22" spans="3:12" x14ac:dyDescent="0.25">
      <c r="C22">
        <v>1019</v>
      </c>
      <c r="D22" s="1">
        <v>46246</v>
      </c>
      <c r="E22" t="s">
        <v>21</v>
      </c>
      <c r="F22" t="s">
        <v>29</v>
      </c>
      <c r="G22" t="s">
        <v>23</v>
      </c>
      <c r="H22">
        <v>2</v>
      </c>
      <c r="I22" s="2">
        <v>1800</v>
      </c>
      <c r="J22" t="s">
        <v>12</v>
      </c>
      <c r="K22" t="s">
        <v>18</v>
      </c>
      <c r="L22" s="2">
        <f>Table[[#This Row],[Unit_Price]]*Table[[#This Row],[Quantity]]</f>
        <v>3600</v>
      </c>
    </row>
    <row r="23" spans="3:12" x14ac:dyDescent="0.25">
      <c r="C23">
        <v>1020</v>
      </c>
      <c r="D23" s="1">
        <v>46246</v>
      </c>
      <c r="E23" t="s">
        <v>24</v>
      </c>
      <c r="F23" t="s">
        <v>22</v>
      </c>
      <c r="G23" t="s">
        <v>23</v>
      </c>
      <c r="H23">
        <v>3</v>
      </c>
      <c r="I23" s="2">
        <v>1200</v>
      </c>
      <c r="J23" t="s">
        <v>17</v>
      </c>
      <c r="K23" t="s">
        <v>13</v>
      </c>
      <c r="L23" s="2">
        <f>Table[[#This Row],[Unit_Price]]*Table[[#This Row],[Quantity]]</f>
        <v>3600</v>
      </c>
    </row>
    <row r="24" spans="3:12" x14ac:dyDescent="0.25">
      <c r="C24">
        <v>1021</v>
      </c>
      <c r="D24" s="1">
        <v>46247</v>
      </c>
      <c r="E24" t="s">
        <v>26</v>
      </c>
      <c r="F24" t="s">
        <v>15</v>
      </c>
      <c r="G24" t="s">
        <v>11</v>
      </c>
      <c r="H24">
        <v>2</v>
      </c>
      <c r="I24" s="2">
        <v>500</v>
      </c>
      <c r="J24" t="s">
        <v>17</v>
      </c>
      <c r="K24" t="s">
        <v>18</v>
      </c>
      <c r="L24" s="2">
        <f>Table[[#This Row],[Unit_Price]]*Table[[#This Row],[Quantity]]</f>
        <v>1000</v>
      </c>
    </row>
    <row r="25" spans="3:12" x14ac:dyDescent="0.25">
      <c r="C25">
        <v>1022</v>
      </c>
      <c r="D25" s="1">
        <v>46248</v>
      </c>
      <c r="E25" t="s">
        <v>9</v>
      </c>
      <c r="F25" t="s">
        <v>10</v>
      </c>
      <c r="G25" t="s">
        <v>11</v>
      </c>
      <c r="H25">
        <v>1</v>
      </c>
      <c r="I25" s="2">
        <v>2500</v>
      </c>
      <c r="J25" t="s">
        <v>12</v>
      </c>
      <c r="K25" t="s">
        <v>13</v>
      </c>
      <c r="L25" s="2">
        <f>Table[[#This Row],[Unit_Price]]*Table[[#This Row],[Quantity]]</f>
        <v>2500</v>
      </c>
    </row>
    <row r="26" spans="3:12" x14ac:dyDescent="0.25">
      <c r="C26">
        <v>1023</v>
      </c>
      <c r="D26" s="1">
        <v>46248</v>
      </c>
      <c r="E26" t="s">
        <v>14</v>
      </c>
      <c r="F26" t="s">
        <v>22</v>
      </c>
      <c r="G26" t="s">
        <v>23</v>
      </c>
      <c r="H26">
        <v>2</v>
      </c>
      <c r="I26" s="2">
        <v>1200</v>
      </c>
      <c r="J26" t="s">
        <v>17</v>
      </c>
      <c r="K26" t="s">
        <v>13</v>
      </c>
      <c r="L26" s="2">
        <f>Table[[#This Row],[Unit_Price]]*Table[[#This Row],[Quantity]]</f>
        <v>2400</v>
      </c>
    </row>
    <row r="27" spans="3:12" x14ac:dyDescent="0.25">
      <c r="C27">
        <v>1024</v>
      </c>
      <c r="D27" s="1">
        <v>46249</v>
      </c>
      <c r="E27" t="s">
        <v>21</v>
      </c>
      <c r="F27" t="s">
        <v>29</v>
      </c>
      <c r="G27" t="s">
        <v>23</v>
      </c>
      <c r="H27">
        <v>1</v>
      </c>
      <c r="I27" s="2">
        <v>1800</v>
      </c>
      <c r="J27" t="s">
        <v>12</v>
      </c>
      <c r="K27" t="s">
        <v>18</v>
      </c>
      <c r="L27" s="2">
        <f>Table[[#This Row],[Unit_Price]]*Table[[#This Row],[Quantity]]</f>
        <v>1800</v>
      </c>
    </row>
    <row r="28" spans="3:12" x14ac:dyDescent="0.25">
      <c r="C28">
        <v>1025</v>
      </c>
      <c r="D28" s="1">
        <v>46249</v>
      </c>
      <c r="E28" t="s">
        <v>24</v>
      </c>
      <c r="F28" t="s">
        <v>15</v>
      </c>
      <c r="G28" t="s">
        <v>11</v>
      </c>
      <c r="H28">
        <v>5</v>
      </c>
      <c r="I28" s="2">
        <v>500</v>
      </c>
      <c r="J28" t="s">
        <v>17</v>
      </c>
      <c r="K28" t="s">
        <v>18</v>
      </c>
      <c r="L28" s="2">
        <f>Table[[#This Row],[Unit_Price]]*Table[[#This Row],[Quantity]]</f>
        <v>2500</v>
      </c>
    </row>
  </sheetData>
  <mergeCells count="1">
    <mergeCell ref="D1:J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DBBE6-62C3-404B-8ED2-BD585CA7C74E}">
  <dimension ref="A3:F25"/>
  <sheetViews>
    <sheetView zoomScaleNormal="100" workbookViewId="0">
      <selection activeCell="C4" sqref="C4"/>
    </sheetView>
  </sheetViews>
  <sheetFormatPr defaultRowHeight="15" x14ac:dyDescent="0.25"/>
  <cols>
    <col min="1" max="1" width="15" bestFit="1" customWidth="1"/>
    <col min="2" max="2" width="16" bestFit="1" customWidth="1"/>
    <col min="3" max="3" width="16.140625" bestFit="1" customWidth="1"/>
    <col min="4" max="4" width="19" bestFit="1" customWidth="1"/>
    <col min="5" max="5" width="9.140625" customWidth="1"/>
  </cols>
  <sheetData>
    <row r="3" spans="1:4" x14ac:dyDescent="0.25">
      <c r="A3" s="3" t="s">
        <v>32</v>
      </c>
      <c r="B3" t="s">
        <v>34</v>
      </c>
      <c r="C3" t="s">
        <v>46</v>
      </c>
      <c r="D3" t="s">
        <v>47</v>
      </c>
    </row>
    <row r="4" spans="1:4" x14ac:dyDescent="0.25">
      <c r="A4" s="4" t="s">
        <v>29</v>
      </c>
      <c r="B4">
        <v>7</v>
      </c>
      <c r="C4" s="5">
        <v>12600</v>
      </c>
      <c r="D4" s="5">
        <v>4900</v>
      </c>
    </row>
    <row r="5" spans="1:4" x14ac:dyDescent="0.25">
      <c r="A5" s="4" t="s">
        <v>10</v>
      </c>
      <c r="B5">
        <v>10</v>
      </c>
      <c r="C5" s="5">
        <v>25000</v>
      </c>
      <c r="D5" s="5">
        <v>8000</v>
      </c>
    </row>
    <row r="6" spans="1:4" x14ac:dyDescent="0.25">
      <c r="A6" s="4" t="s">
        <v>15</v>
      </c>
      <c r="B6">
        <v>28</v>
      </c>
      <c r="C6" s="5">
        <v>14000</v>
      </c>
      <c r="D6" s="5">
        <v>7000</v>
      </c>
    </row>
    <row r="7" spans="1:4" x14ac:dyDescent="0.25">
      <c r="A7" s="4" t="s">
        <v>22</v>
      </c>
      <c r="B7">
        <v>11</v>
      </c>
      <c r="C7" s="5">
        <v>13200</v>
      </c>
      <c r="D7" s="5">
        <v>5500</v>
      </c>
    </row>
    <row r="8" spans="1:4" x14ac:dyDescent="0.25">
      <c r="A8" s="4" t="s">
        <v>33</v>
      </c>
      <c r="B8">
        <v>56</v>
      </c>
      <c r="C8" s="5">
        <v>64800</v>
      </c>
      <c r="D8" s="5">
        <v>25400</v>
      </c>
    </row>
    <row r="18" spans="1:6" x14ac:dyDescent="0.25">
      <c r="F18" t="s">
        <v>48</v>
      </c>
    </row>
    <row r="19" spans="1:6" x14ac:dyDescent="0.25">
      <c r="F19" t="s">
        <v>49</v>
      </c>
    </row>
    <row r="20" spans="1:6" x14ac:dyDescent="0.25">
      <c r="F20" t="s">
        <v>50</v>
      </c>
    </row>
    <row r="23" spans="1:6" x14ac:dyDescent="0.25">
      <c r="F23" s="7"/>
    </row>
    <row r="25" spans="1:6" x14ac:dyDescent="0.25">
      <c r="A25" s="7" t="s">
        <v>51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8BB3B-EC58-4EF9-B611-7F390DEEFC9C}">
  <dimension ref="A1:O26"/>
  <sheetViews>
    <sheetView topLeftCell="G1" workbookViewId="0">
      <selection activeCell="L2" sqref="L2"/>
    </sheetView>
  </sheetViews>
  <sheetFormatPr defaultRowHeight="15" x14ac:dyDescent="0.25"/>
  <cols>
    <col min="1" max="1" width="16.7109375" bestFit="1" customWidth="1"/>
    <col min="2" max="2" width="10.42578125" bestFit="1" customWidth="1"/>
    <col min="3" max="3" width="13.85546875" bestFit="1" customWidth="1"/>
    <col min="4" max="4" width="15" bestFit="1" customWidth="1"/>
    <col min="5" max="5" width="11.5703125" bestFit="1" customWidth="1"/>
    <col min="6" max="6" width="11" bestFit="1" customWidth="1"/>
    <col min="7" max="7" width="12.42578125" bestFit="1" customWidth="1"/>
    <col min="8" max="8" width="19" bestFit="1" customWidth="1"/>
    <col min="9" max="9" width="14.42578125" bestFit="1" customWidth="1"/>
    <col min="10" max="11" width="20" bestFit="1" customWidth="1"/>
    <col min="12" max="14" width="12.85546875" style="2" bestFit="1" customWidth="1"/>
    <col min="15" max="15" width="9.140625" style="6"/>
  </cols>
  <sheetData>
    <row r="1" spans="1:15" x14ac:dyDescent="0.25">
      <c r="A1" t="s">
        <v>0</v>
      </c>
      <c r="B1" t="s">
        <v>1</v>
      </c>
      <c r="C1" t="s">
        <v>2</v>
      </c>
      <c r="D1" t="s">
        <v>3</v>
      </c>
      <c r="E1" t="s">
        <v>4</v>
      </c>
      <c r="F1" t="s">
        <v>5</v>
      </c>
      <c r="G1" t="s">
        <v>6</v>
      </c>
      <c r="H1" t="s">
        <v>7</v>
      </c>
      <c r="I1" t="s">
        <v>8</v>
      </c>
      <c r="J1" t="s">
        <v>40</v>
      </c>
      <c r="K1" t="s">
        <v>41</v>
      </c>
      <c r="L1" s="2" t="s">
        <v>42</v>
      </c>
      <c r="M1" s="2" t="s">
        <v>44</v>
      </c>
      <c r="N1" s="2" t="s">
        <v>43</v>
      </c>
      <c r="O1" s="6" t="s">
        <v>45</v>
      </c>
    </row>
    <row r="2" spans="1:15" x14ac:dyDescent="0.25">
      <c r="A2">
        <v>1001</v>
      </c>
      <c r="B2" s="1">
        <v>46235</v>
      </c>
      <c r="C2" t="s">
        <v>9</v>
      </c>
      <c r="D2" t="s">
        <v>10</v>
      </c>
      <c r="E2" t="s">
        <v>11</v>
      </c>
      <c r="F2">
        <v>2</v>
      </c>
      <c r="G2">
        <v>2500</v>
      </c>
      <c r="H2" t="s">
        <v>12</v>
      </c>
      <c r="I2" t="s">
        <v>13</v>
      </c>
      <c r="J2" t="s">
        <v>10</v>
      </c>
      <c r="K2" t="s">
        <v>37</v>
      </c>
      <c r="L2" s="2">
        <f>Merge1[[#This Row],[Table (2).Column2]]*Merge1[[#This Row],[Quantity]]</f>
        <v>3400</v>
      </c>
      <c r="M2" s="2">
        <f>Merge1[[#This Row],[Unit_Price]]*Merge1[[#This Row],[Quantity]]</f>
        <v>5000</v>
      </c>
      <c r="N2" s="2">
        <f>Merge1[[#This Row],[Revenue]]-Merge1[[#This Row],[Cost of Goods sold]]</f>
        <v>1600</v>
      </c>
      <c r="O2" s="6">
        <f>Merge1[[#This Row],[Gross Profit]]/Merge1[[#This Row],[Revenue]]</f>
        <v>0.32</v>
      </c>
    </row>
    <row r="3" spans="1:15" x14ac:dyDescent="0.25">
      <c r="A3">
        <v>1003</v>
      </c>
      <c r="B3" s="1">
        <v>46236</v>
      </c>
      <c r="C3" t="s">
        <v>19</v>
      </c>
      <c r="D3" t="s">
        <v>10</v>
      </c>
      <c r="E3" t="s">
        <v>11</v>
      </c>
      <c r="F3">
        <v>1</v>
      </c>
      <c r="G3">
        <v>2500</v>
      </c>
      <c r="H3" t="s">
        <v>17</v>
      </c>
      <c r="I3" t="s">
        <v>13</v>
      </c>
      <c r="J3" t="s">
        <v>10</v>
      </c>
      <c r="K3" t="s">
        <v>37</v>
      </c>
      <c r="L3" s="2">
        <f>Merge1[[#This Row],[Table (2).Column2]]*Merge1[[#This Row],[Quantity]]</f>
        <v>1700</v>
      </c>
      <c r="M3" s="2">
        <f>Merge1[[#This Row],[Unit_Price]]*Merge1[[#This Row],[Quantity]]</f>
        <v>2500</v>
      </c>
      <c r="N3" s="2">
        <f>Merge1[[#This Row],[Revenue]]-Merge1[[#This Row],[Cost of Goods sold]]</f>
        <v>800</v>
      </c>
      <c r="O3" s="6">
        <f>Merge1[[#This Row],[Gross Profit]]/Merge1[[#This Row],[Revenue]]</f>
        <v>0.32</v>
      </c>
    </row>
    <row r="4" spans="1:15" x14ac:dyDescent="0.25">
      <c r="A4">
        <v>1002</v>
      </c>
      <c r="B4" s="1">
        <v>46235</v>
      </c>
      <c r="C4" t="s">
        <v>14</v>
      </c>
      <c r="D4" t="s">
        <v>15</v>
      </c>
      <c r="E4" t="s">
        <v>11</v>
      </c>
      <c r="F4">
        <v>3</v>
      </c>
      <c r="G4">
        <v>500</v>
      </c>
      <c r="H4" t="s">
        <v>17</v>
      </c>
      <c r="I4" t="s">
        <v>18</v>
      </c>
      <c r="J4" t="s">
        <v>15</v>
      </c>
      <c r="K4" t="s">
        <v>38</v>
      </c>
      <c r="L4" s="2">
        <f>Merge1[[#This Row],[Table (2).Column2]]*Merge1[[#This Row],[Quantity]]</f>
        <v>750</v>
      </c>
      <c r="M4" s="2">
        <f>Merge1[[#This Row],[Unit_Price]]*Merge1[[#This Row],[Quantity]]</f>
        <v>1500</v>
      </c>
      <c r="N4" s="2">
        <f>Merge1[[#This Row],[Revenue]]-Merge1[[#This Row],[Cost of Goods sold]]</f>
        <v>750</v>
      </c>
      <c r="O4" s="6">
        <f>Merge1[[#This Row],[Gross Profit]]/Merge1[[#This Row],[Revenue]]</f>
        <v>0.5</v>
      </c>
    </row>
    <row r="5" spans="1:15" x14ac:dyDescent="0.25">
      <c r="A5">
        <v>1006</v>
      </c>
      <c r="B5" s="1">
        <v>46238</v>
      </c>
      <c r="C5" t="s">
        <v>26</v>
      </c>
      <c r="D5" t="s">
        <v>15</v>
      </c>
      <c r="E5" t="s">
        <v>11</v>
      </c>
      <c r="F5">
        <v>5</v>
      </c>
      <c r="G5">
        <v>500</v>
      </c>
      <c r="H5" t="s">
        <v>17</v>
      </c>
      <c r="I5" t="s">
        <v>18</v>
      </c>
      <c r="J5" t="s">
        <v>15</v>
      </c>
      <c r="K5" t="s">
        <v>38</v>
      </c>
      <c r="L5" s="2">
        <f>Merge1[[#This Row],[Table (2).Column2]]*Merge1[[#This Row],[Quantity]]</f>
        <v>1250</v>
      </c>
      <c r="M5" s="2">
        <f>Merge1[[#This Row],[Unit_Price]]*Merge1[[#This Row],[Quantity]]</f>
        <v>2500</v>
      </c>
      <c r="N5" s="2">
        <f>Merge1[[#This Row],[Revenue]]-Merge1[[#This Row],[Cost of Goods sold]]</f>
        <v>1250</v>
      </c>
      <c r="O5" s="6">
        <f>Merge1[[#This Row],[Gross Profit]]/Merge1[[#This Row],[Revenue]]</f>
        <v>0.5</v>
      </c>
    </row>
    <row r="6" spans="1:15" x14ac:dyDescent="0.25">
      <c r="A6">
        <v>1005</v>
      </c>
      <c r="B6" s="1">
        <v>46237</v>
      </c>
      <c r="C6" t="s">
        <v>24</v>
      </c>
      <c r="D6" t="s">
        <v>29</v>
      </c>
      <c r="E6" t="s">
        <v>23</v>
      </c>
      <c r="F6">
        <v>1</v>
      </c>
      <c r="G6">
        <v>1800</v>
      </c>
      <c r="H6" t="s">
        <v>17</v>
      </c>
      <c r="I6" t="s">
        <v>18</v>
      </c>
      <c r="J6" t="s">
        <v>29</v>
      </c>
      <c r="K6" t="s">
        <v>36</v>
      </c>
      <c r="L6" s="2">
        <f>Merge1[[#This Row],[Table (2).Column2]]*Merge1[[#This Row],[Quantity]]</f>
        <v>1100</v>
      </c>
      <c r="M6" s="2">
        <f>Merge1[[#This Row],[Unit_Price]]*Merge1[[#This Row],[Quantity]]</f>
        <v>1800</v>
      </c>
      <c r="N6" s="2">
        <f>Merge1[[#This Row],[Revenue]]-Merge1[[#This Row],[Cost of Goods sold]]</f>
        <v>700</v>
      </c>
      <c r="O6" s="6">
        <f>Merge1[[#This Row],[Gross Profit]]/Merge1[[#This Row],[Revenue]]</f>
        <v>0.3888888888888889</v>
      </c>
    </row>
    <row r="7" spans="1:15" x14ac:dyDescent="0.25">
      <c r="A7">
        <v>1004</v>
      </c>
      <c r="B7" s="1">
        <v>46237</v>
      </c>
      <c r="C7" t="s">
        <v>21</v>
      </c>
      <c r="D7" t="s">
        <v>22</v>
      </c>
      <c r="E7" t="s">
        <v>23</v>
      </c>
      <c r="F7">
        <v>2</v>
      </c>
      <c r="G7">
        <v>1200</v>
      </c>
      <c r="H7" t="s">
        <v>12</v>
      </c>
      <c r="I7" t="s">
        <v>13</v>
      </c>
      <c r="J7" t="s">
        <v>22</v>
      </c>
      <c r="K7" t="s">
        <v>39</v>
      </c>
      <c r="L7" s="2">
        <f>Merge1[[#This Row],[Table (2).Column2]]*Merge1[[#This Row],[Quantity]]</f>
        <v>1400</v>
      </c>
      <c r="M7" s="2">
        <f>Merge1[[#This Row],[Unit_Price]]*Merge1[[#This Row],[Quantity]]</f>
        <v>2400</v>
      </c>
      <c r="N7" s="2">
        <f>Merge1[[#This Row],[Revenue]]-Merge1[[#This Row],[Cost of Goods sold]]</f>
        <v>1000</v>
      </c>
      <c r="O7" s="6">
        <f>Merge1[[#This Row],[Gross Profit]]/Merge1[[#This Row],[Revenue]]</f>
        <v>0.41666666666666669</v>
      </c>
    </row>
    <row r="8" spans="1:15" x14ac:dyDescent="0.25">
      <c r="A8">
        <v>1007</v>
      </c>
      <c r="B8" s="1">
        <v>46238</v>
      </c>
      <c r="C8" t="s">
        <v>9</v>
      </c>
      <c r="D8" t="s">
        <v>10</v>
      </c>
      <c r="E8" t="s">
        <v>11</v>
      </c>
      <c r="F8">
        <v>2</v>
      </c>
      <c r="G8">
        <v>2500</v>
      </c>
      <c r="H8" t="s">
        <v>12</v>
      </c>
      <c r="I8" t="s">
        <v>13</v>
      </c>
      <c r="J8" t="s">
        <v>10</v>
      </c>
      <c r="K8" t="s">
        <v>37</v>
      </c>
      <c r="L8" s="2">
        <f>Merge1[[#This Row],[Table (2).Column2]]*Merge1[[#This Row],[Quantity]]</f>
        <v>3400</v>
      </c>
      <c r="M8" s="2">
        <f>Merge1[[#This Row],[Unit_Price]]*Merge1[[#This Row],[Quantity]]</f>
        <v>5000</v>
      </c>
      <c r="N8" s="2">
        <f>Merge1[[#This Row],[Revenue]]-Merge1[[#This Row],[Cost of Goods sold]]</f>
        <v>1600</v>
      </c>
      <c r="O8" s="6">
        <f>Merge1[[#This Row],[Gross Profit]]/Merge1[[#This Row],[Revenue]]</f>
        <v>0.32</v>
      </c>
    </row>
    <row r="9" spans="1:15" x14ac:dyDescent="0.25">
      <c r="A9">
        <v>1008</v>
      </c>
      <c r="B9" s="1">
        <v>46239</v>
      </c>
      <c r="C9" t="s">
        <v>14</v>
      </c>
      <c r="D9" t="s">
        <v>22</v>
      </c>
      <c r="E9" t="s">
        <v>23</v>
      </c>
      <c r="F9">
        <v>1</v>
      </c>
      <c r="G9">
        <v>1200</v>
      </c>
      <c r="H9" t="s">
        <v>17</v>
      </c>
      <c r="I9" t="s">
        <v>13</v>
      </c>
      <c r="J9" t="s">
        <v>22</v>
      </c>
      <c r="K9" t="s">
        <v>39</v>
      </c>
      <c r="L9" s="2">
        <f>Merge1[[#This Row],[Table (2).Column2]]*Merge1[[#This Row],[Quantity]]</f>
        <v>700</v>
      </c>
      <c r="M9" s="2">
        <f>Merge1[[#This Row],[Unit_Price]]*Merge1[[#This Row],[Quantity]]</f>
        <v>1200</v>
      </c>
      <c r="N9" s="2">
        <f>Merge1[[#This Row],[Revenue]]-Merge1[[#This Row],[Cost of Goods sold]]</f>
        <v>500</v>
      </c>
      <c r="O9" s="6">
        <f>Merge1[[#This Row],[Gross Profit]]/Merge1[[#This Row],[Revenue]]</f>
        <v>0.41666666666666669</v>
      </c>
    </row>
    <row r="10" spans="1:15" x14ac:dyDescent="0.25">
      <c r="A10">
        <v>1009</v>
      </c>
      <c r="B10" s="1">
        <v>46239</v>
      </c>
      <c r="C10" t="s">
        <v>21</v>
      </c>
      <c r="D10" t="s">
        <v>29</v>
      </c>
      <c r="E10" t="s">
        <v>23</v>
      </c>
      <c r="F10">
        <v>2</v>
      </c>
      <c r="G10">
        <v>1800</v>
      </c>
      <c r="H10" t="s">
        <v>12</v>
      </c>
      <c r="I10" t="s">
        <v>18</v>
      </c>
      <c r="J10" t="s">
        <v>29</v>
      </c>
      <c r="K10" t="s">
        <v>36</v>
      </c>
      <c r="L10" s="2">
        <f>Merge1[[#This Row],[Table (2).Column2]]*Merge1[[#This Row],[Quantity]]</f>
        <v>2200</v>
      </c>
      <c r="M10" s="2">
        <f>Merge1[[#This Row],[Unit_Price]]*Merge1[[#This Row],[Quantity]]</f>
        <v>3600</v>
      </c>
      <c r="N10" s="2">
        <f>Merge1[[#This Row],[Revenue]]-Merge1[[#This Row],[Cost of Goods sold]]</f>
        <v>1400</v>
      </c>
      <c r="O10" s="6">
        <f>Merge1[[#This Row],[Gross Profit]]/Merge1[[#This Row],[Revenue]]</f>
        <v>0.3888888888888889</v>
      </c>
    </row>
    <row r="11" spans="1:15" x14ac:dyDescent="0.25">
      <c r="A11">
        <v>1010</v>
      </c>
      <c r="B11" s="1">
        <v>46240</v>
      </c>
      <c r="C11" t="s">
        <v>24</v>
      </c>
      <c r="D11" t="s">
        <v>15</v>
      </c>
      <c r="E11" t="s">
        <v>11</v>
      </c>
      <c r="F11">
        <v>4</v>
      </c>
      <c r="G11">
        <v>500</v>
      </c>
      <c r="H11" t="s">
        <v>17</v>
      </c>
      <c r="I11" t="s">
        <v>18</v>
      </c>
      <c r="J11" t="s">
        <v>15</v>
      </c>
      <c r="K11" t="s">
        <v>38</v>
      </c>
      <c r="L11" s="2">
        <f>Merge1[[#This Row],[Table (2).Column2]]*Merge1[[#This Row],[Quantity]]</f>
        <v>1000</v>
      </c>
      <c r="M11" s="2">
        <f>Merge1[[#This Row],[Unit_Price]]*Merge1[[#This Row],[Quantity]]</f>
        <v>2000</v>
      </c>
      <c r="N11" s="2">
        <f>Merge1[[#This Row],[Revenue]]-Merge1[[#This Row],[Cost of Goods sold]]</f>
        <v>1000</v>
      </c>
      <c r="O11" s="6">
        <f>Merge1[[#This Row],[Gross Profit]]/Merge1[[#This Row],[Revenue]]</f>
        <v>0.5</v>
      </c>
    </row>
    <row r="12" spans="1:15" x14ac:dyDescent="0.25">
      <c r="A12">
        <v>1011</v>
      </c>
      <c r="B12" s="1">
        <v>46240</v>
      </c>
      <c r="C12" t="s">
        <v>26</v>
      </c>
      <c r="D12" t="s">
        <v>10</v>
      </c>
      <c r="E12" t="s">
        <v>11</v>
      </c>
      <c r="F12">
        <v>1</v>
      </c>
      <c r="G12">
        <v>2500</v>
      </c>
      <c r="H12" t="s">
        <v>17</v>
      </c>
      <c r="I12" t="s">
        <v>13</v>
      </c>
      <c r="J12" t="s">
        <v>10</v>
      </c>
      <c r="K12" t="s">
        <v>37</v>
      </c>
      <c r="L12" s="2">
        <f>Merge1[[#This Row],[Table (2).Column2]]*Merge1[[#This Row],[Quantity]]</f>
        <v>1700</v>
      </c>
      <c r="M12" s="2">
        <f>Merge1[[#This Row],[Unit_Price]]*Merge1[[#This Row],[Quantity]]</f>
        <v>2500</v>
      </c>
      <c r="N12" s="2">
        <f>Merge1[[#This Row],[Revenue]]-Merge1[[#This Row],[Cost of Goods sold]]</f>
        <v>800</v>
      </c>
      <c r="O12" s="6">
        <f>Merge1[[#This Row],[Gross Profit]]/Merge1[[#This Row],[Revenue]]</f>
        <v>0.32</v>
      </c>
    </row>
    <row r="13" spans="1:15" x14ac:dyDescent="0.25">
      <c r="A13">
        <v>1012</v>
      </c>
      <c r="B13" s="1">
        <v>46241</v>
      </c>
      <c r="C13" t="s">
        <v>9</v>
      </c>
      <c r="D13" t="s">
        <v>22</v>
      </c>
      <c r="E13" t="s">
        <v>23</v>
      </c>
      <c r="F13">
        <v>2</v>
      </c>
      <c r="G13">
        <v>1200</v>
      </c>
      <c r="H13" t="s">
        <v>12</v>
      </c>
      <c r="I13" t="s">
        <v>13</v>
      </c>
      <c r="J13" t="s">
        <v>22</v>
      </c>
      <c r="K13" t="s">
        <v>39</v>
      </c>
      <c r="L13" s="2">
        <f>Merge1[[#This Row],[Table (2).Column2]]*Merge1[[#This Row],[Quantity]]</f>
        <v>1400</v>
      </c>
      <c r="M13" s="2">
        <f>Merge1[[#This Row],[Unit_Price]]*Merge1[[#This Row],[Quantity]]</f>
        <v>2400</v>
      </c>
      <c r="N13" s="2">
        <f>Merge1[[#This Row],[Revenue]]-Merge1[[#This Row],[Cost of Goods sold]]</f>
        <v>1000</v>
      </c>
      <c r="O13" s="6">
        <f>Merge1[[#This Row],[Gross Profit]]/Merge1[[#This Row],[Revenue]]</f>
        <v>0.41666666666666669</v>
      </c>
    </row>
    <row r="14" spans="1:15" x14ac:dyDescent="0.25">
      <c r="A14">
        <v>1013</v>
      </c>
      <c r="B14" s="1">
        <v>46242</v>
      </c>
      <c r="C14" t="s">
        <v>14</v>
      </c>
      <c r="D14" t="s">
        <v>29</v>
      </c>
      <c r="E14" t="s">
        <v>23</v>
      </c>
      <c r="F14">
        <v>1</v>
      </c>
      <c r="G14">
        <v>1800</v>
      </c>
      <c r="H14" t="s">
        <v>17</v>
      </c>
      <c r="I14" t="s">
        <v>18</v>
      </c>
      <c r="J14" t="s">
        <v>29</v>
      </c>
      <c r="K14" t="s">
        <v>36</v>
      </c>
      <c r="L14" s="2">
        <f>Merge1[[#This Row],[Table (2).Column2]]*Merge1[[#This Row],[Quantity]]</f>
        <v>1100</v>
      </c>
      <c r="M14" s="2">
        <f>Merge1[[#This Row],[Unit_Price]]*Merge1[[#This Row],[Quantity]]</f>
        <v>1800</v>
      </c>
      <c r="N14" s="2">
        <f>Merge1[[#This Row],[Revenue]]-Merge1[[#This Row],[Cost of Goods sold]]</f>
        <v>700</v>
      </c>
      <c r="O14" s="6">
        <f>Merge1[[#This Row],[Gross Profit]]/Merge1[[#This Row],[Revenue]]</f>
        <v>0.3888888888888889</v>
      </c>
    </row>
    <row r="15" spans="1:15" x14ac:dyDescent="0.25">
      <c r="A15">
        <v>1014</v>
      </c>
      <c r="B15" s="1">
        <v>46242</v>
      </c>
      <c r="C15" t="s">
        <v>21</v>
      </c>
      <c r="D15" t="s">
        <v>15</v>
      </c>
      <c r="E15" t="s">
        <v>11</v>
      </c>
      <c r="F15">
        <v>3</v>
      </c>
      <c r="G15">
        <v>500</v>
      </c>
      <c r="H15" t="s">
        <v>17</v>
      </c>
      <c r="I15" t="s">
        <v>18</v>
      </c>
      <c r="J15" t="s">
        <v>15</v>
      </c>
      <c r="K15" t="s">
        <v>38</v>
      </c>
      <c r="L15" s="2">
        <f>Merge1[[#This Row],[Table (2).Column2]]*Merge1[[#This Row],[Quantity]]</f>
        <v>750</v>
      </c>
      <c r="M15" s="2">
        <f>Merge1[[#This Row],[Unit_Price]]*Merge1[[#This Row],[Quantity]]</f>
        <v>1500</v>
      </c>
      <c r="N15" s="2">
        <f>Merge1[[#This Row],[Revenue]]-Merge1[[#This Row],[Cost of Goods sold]]</f>
        <v>750</v>
      </c>
      <c r="O15" s="6">
        <f>Merge1[[#This Row],[Gross Profit]]/Merge1[[#This Row],[Revenue]]</f>
        <v>0.5</v>
      </c>
    </row>
    <row r="16" spans="1:15" x14ac:dyDescent="0.25">
      <c r="A16">
        <v>1015</v>
      </c>
      <c r="B16" s="1">
        <v>46243</v>
      </c>
      <c r="C16" t="s">
        <v>24</v>
      </c>
      <c r="D16" t="s">
        <v>10</v>
      </c>
      <c r="E16" t="s">
        <v>11</v>
      </c>
      <c r="F16">
        <v>2</v>
      </c>
      <c r="G16">
        <v>2500</v>
      </c>
      <c r="H16" t="s">
        <v>12</v>
      </c>
      <c r="I16" t="s">
        <v>13</v>
      </c>
      <c r="J16" t="s">
        <v>10</v>
      </c>
      <c r="K16" t="s">
        <v>37</v>
      </c>
      <c r="L16" s="2">
        <f>Merge1[[#This Row],[Table (2).Column2]]*Merge1[[#This Row],[Quantity]]</f>
        <v>3400</v>
      </c>
      <c r="M16" s="2">
        <f>Merge1[[#This Row],[Unit_Price]]*Merge1[[#This Row],[Quantity]]</f>
        <v>5000</v>
      </c>
      <c r="N16" s="2">
        <f>Merge1[[#This Row],[Revenue]]-Merge1[[#This Row],[Cost of Goods sold]]</f>
        <v>1600</v>
      </c>
      <c r="O16" s="6">
        <f>Merge1[[#This Row],[Gross Profit]]/Merge1[[#This Row],[Revenue]]</f>
        <v>0.32</v>
      </c>
    </row>
    <row r="17" spans="1:15" x14ac:dyDescent="0.25">
      <c r="A17">
        <v>1016</v>
      </c>
      <c r="B17" s="1">
        <v>46244</v>
      </c>
      <c r="C17" t="s">
        <v>26</v>
      </c>
      <c r="D17" t="s">
        <v>22</v>
      </c>
      <c r="E17" t="s">
        <v>23</v>
      </c>
      <c r="F17">
        <v>1</v>
      </c>
      <c r="G17">
        <v>1200</v>
      </c>
      <c r="H17" t="s">
        <v>17</v>
      </c>
      <c r="I17" t="s">
        <v>13</v>
      </c>
      <c r="J17" t="s">
        <v>22</v>
      </c>
      <c r="K17" t="s">
        <v>39</v>
      </c>
      <c r="L17" s="2">
        <f>Merge1[[#This Row],[Table (2).Column2]]*Merge1[[#This Row],[Quantity]]</f>
        <v>700</v>
      </c>
      <c r="M17" s="2">
        <f>Merge1[[#This Row],[Unit_Price]]*Merge1[[#This Row],[Quantity]]</f>
        <v>1200</v>
      </c>
      <c r="N17" s="2">
        <f>Merge1[[#This Row],[Revenue]]-Merge1[[#This Row],[Cost of Goods sold]]</f>
        <v>500</v>
      </c>
      <c r="O17" s="6">
        <f>Merge1[[#This Row],[Gross Profit]]/Merge1[[#This Row],[Revenue]]</f>
        <v>0.41666666666666669</v>
      </c>
    </row>
    <row r="18" spans="1:15" x14ac:dyDescent="0.25">
      <c r="A18">
        <v>1017</v>
      </c>
      <c r="B18" s="1">
        <v>46244</v>
      </c>
      <c r="C18" t="s">
        <v>9</v>
      </c>
      <c r="D18" t="s">
        <v>15</v>
      </c>
      <c r="E18" t="s">
        <v>11</v>
      </c>
      <c r="F18">
        <v>6</v>
      </c>
      <c r="G18">
        <v>500</v>
      </c>
      <c r="H18" t="s">
        <v>12</v>
      </c>
      <c r="I18" t="s">
        <v>18</v>
      </c>
      <c r="J18" t="s">
        <v>15</v>
      </c>
      <c r="K18" t="s">
        <v>38</v>
      </c>
      <c r="L18" s="2">
        <f>Merge1[[#This Row],[Table (2).Column2]]*Merge1[[#This Row],[Quantity]]</f>
        <v>1500</v>
      </c>
      <c r="M18" s="2">
        <f>Merge1[[#This Row],[Unit_Price]]*Merge1[[#This Row],[Quantity]]</f>
        <v>3000</v>
      </c>
      <c r="N18" s="2">
        <f>Merge1[[#This Row],[Revenue]]-Merge1[[#This Row],[Cost of Goods sold]]</f>
        <v>1500</v>
      </c>
      <c r="O18" s="6">
        <f>Merge1[[#This Row],[Gross Profit]]/Merge1[[#This Row],[Revenue]]</f>
        <v>0.5</v>
      </c>
    </row>
    <row r="19" spans="1:15" x14ac:dyDescent="0.25">
      <c r="A19">
        <v>1018</v>
      </c>
      <c r="B19" s="1">
        <v>46245</v>
      </c>
      <c r="C19" t="s">
        <v>14</v>
      </c>
      <c r="D19" t="s">
        <v>10</v>
      </c>
      <c r="E19" t="s">
        <v>11</v>
      </c>
      <c r="F19">
        <v>1</v>
      </c>
      <c r="G19">
        <v>2500</v>
      </c>
      <c r="H19" t="s">
        <v>17</v>
      </c>
      <c r="I19" t="s">
        <v>13</v>
      </c>
      <c r="J19" t="s">
        <v>10</v>
      </c>
      <c r="K19" t="s">
        <v>37</v>
      </c>
      <c r="L19" s="2">
        <f>Merge1[[#This Row],[Table (2).Column2]]*Merge1[[#This Row],[Quantity]]</f>
        <v>1700</v>
      </c>
      <c r="M19" s="2">
        <f>Merge1[[#This Row],[Unit_Price]]*Merge1[[#This Row],[Quantity]]</f>
        <v>2500</v>
      </c>
      <c r="N19" s="2">
        <f>Merge1[[#This Row],[Revenue]]-Merge1[[#This Row],[Cost of Goods sold]]</f>
        <v>800</v>
      </c>
      <c r="O19" s="6">
        <f>Merge1[[#This Row],[Gross Profit]]/Merge1[[#This Row],[Revenue]]</f>
        <v>0.32</v>
      </c>
    </row>
    <row r="20" spans="1:15" x14ac:dyDescent="0.25">
      <c r="A20">
        <v>1019</v>
      </c>
      <c r="B20" s="1">
        <v>46246</v>
      </c>
      <c r="C20" t="s">
        <v>21</v>
      </c>
      <c r="D20" t="s">
        <v>29</v>
      </c>
      <c r="E20" t="s">
        <v>23</v>
      </c>
      <c r="F20">
        <v>2</v>
      </c>
      <c r="G20">
        <v>1800</v>
      </c>
      <c r="H20" t="s">
        <v>12</v>
      </c>
      <c r="I20" t="s">
        <v>18</v>
      </c>
      <c r="J20" t="s">
        <v>29</v>
      </c>
      <c r="K20" t="s">
        <v>36</v>
      </c>
      <c r="L20" s="2">
        <f>Merge1[[#This Row],[Table (2).Column2]]*Merge1[[#This Row],[Quantity]]</f>
        <v>2200</v>
      </c>
      <c r="M20" s="2">
        <f>Merge1[[#This Row],[Unit_Price]]*Merge1[[#This Row],[Quantity]]</f>
        <v>3600</v>
      </c>
      <c r="N20" s="2">
        <f>Merge1[[#This Row],[Revenue]]-Merge1[[#This Row],[Cost of Goods sold]]</f>
        <v>1400</v>
      </c>
      <c r="O20" s="6">
        <f>Merge1[[#This Row],[Gross Profit]]/Merge1[[#This Row],[Revenue]]</f>
        <v>0.3888888888888889</v>
      </c>
    </row>
    <row r="21" spans="1:15" x14ac:dyDescent="0.25">
      <c r="A21">
        <v>1020</v>
      </c>
      <c r="B21" s="1">
        <v>46246</v>
      </c>
      <c r="C21" t="s">
        <v>24</v>
      </c>
      <c r="D21" t="s">
        <v>22</v>
      </c>
      <c r="E21" t="s">
        <v>23</v>
      </c>
      <c r="F21">
        <v>3</v>
      </c>
      <c r="G21">
        <v>1200</v>
      </c>
      <c r="H21" t="s">
        <v>17</v>
      </c>
      <c r="I21" t="s">
        <v>13</v>
      </c>
      <c r="J21" t="s">
        <v>22</v>
      </c>
      <c r="K21" t="s">
        <v>39</v>
      </c>
      <c r="L21" s="2">
        <f>Merge1[[#This Row],[Table (2).Column2]]*Merge1[[#This Row],[Quantity]]</f>
        <v>2100</v>
      </c>
      <c r="M21" s="2">
        <f>Merge1[[#This Row],[Unit_Price]]*Merge1[[#This Row],[Quantity]]</f>
        <v>3600</v>
      </c>
      <c r="N21" s="2">
        <f>Merge1[[#This Row],[Revenue]]-Merge1[[#This Row],[Cost of Goods sold]]</f>
        <v>1500</v>
      </c>
      <c r="O21" s="6">
        <f>Merge1[[#This Row],[Gross Profit]]/Merge1[[#This Row],[Revenue]]</f>
        <v>0.41666666666666669</v>
      </c>
    </row>
    <row r="22" spans="1:15" x14ac:dyDescent="0.25">
      <c r="A22">
        <v>1021</v>
      </c>
      <c r="B22" s="1">
        <v>46247</v>
      </c>
      <c r="C22" t="s">
        <v>26</v>
      </c>
      <c r="D22" t="s">
        <v>15</v>
      </c>
      <c r="E22" t="s">
        <v>11</v>
      </c>
      <c r="F22">
        <v>2</v>
      </c>
      <c r="G22">
        <v>500</v>
      </c>
      <c r="H22" t="s">
        <v>17</v>
      </c>
      <c r="I22" t="s">
        <v>18</v>
      </c>
      <c r="J22" t="s">
        <v>15</v>
      </c>
      <c r="K22" t="s">
        <v>38</v>
      </c>
      <c r="L22" s="2">
        <f>Merge1[[#This Row],[Table (2).Column2]]*Merge1[[#This Row],[Quantity]]</f>
        <v>500</v>
      </c>
      <c r="M22" s="2">
        <f>Merge1[[#This Row],[Unit_Price]]*Merge1[[#This Row],[Quantity]]</f>
        <v>1000</v>
      </c>
      <c r="N22" s="2">
        <f>Merge1[[#This Row],[Revenue]]-Merge1[[#This Row],[Cost of Goods sold]]</f>
        <v>500</v>
      </c>
      <c r="O22" s="6">
        <f>Merge1[[#This Row],[Gross Profit]]/Merge1[[#This Row],[Revenue]]</f>
        <v>0.5</v>
      </c>
    </row>
    <row r="23" spans="1:15" x14ac:dyDescent="0.25">
      <c r="A23">
        <v>1022</v>
      </c>
      <c r="B23" s="1">
        <v>46248</v>
      </c>
      <c r="C23" t="s">
        <v>9</v>
      </c>
      <c r="D23" t="s">
        <v>10</v>
      </c>
      <c r="E23" t="s">
        <v>11</v>
      </c>
      <c r="F23">
        <v>1</v>
      </c>
      <c r="G23">
        <v>2500</v>
      </c>
      <c r="H23" t="s">
        <v>12</v>
      </c>
      <c r="I23" t="s">
        <v>13</v>
      </c>
      <c r="J23" t="s">
        <v>10</v>
      </c>
      <c r="K23" t="s">
        <v>37</v>
      </c>
      <c r="L23" s="2">
        <f>Merge1[[#This Row],[Table (2).Column2]]*Merge1[[#This Row],[Quantity]]</f>
        <v>1700</v>
      </c>
      <c r="M23" s="2">
        <f>Merge1[[#This Row],[Unit_Price]]*Merge1[[#This Row],[Quantity]]</f>
        <v>2500</v>
      </c>
      <c r="N23" s="2">
        <f>Merge1[[#This Row],[Revenue]]-Merge1[[#This Row],[Cost of Goods sold]]</f>
        <v>800</v>
      </c>
      <c r="O23" s="6">
        <f>Merge1[[#This Row],[Gross Profit]]/Merge1[[#This Row],[Revenue]]</f>
        <v>0.32</v>
      </c>
    </row>
    <row r="24" spans="1:15" x14ac:dyDescent="0.25">
      <c r="A24">
        <v>1023</v>
      </c>
      <c r="B24" s="1">
        <v>46248</v>
      </c>
      <c r="C24" t="s">
        <v>14</v>
      </c>
      <c r="D24" t="s">
        <v>22</v>
      </c>
      <c r="E24" t="s">
        <v>23</v>
      </c>
      <c r="F24">
        <v>2</v>
      </c>
      <c r="G24">
        <v>1200</v>
      </c>
      <c r="H24" t="s">
        <v>17</v>
      </c>
      <c r="I24" t="s">
        <v>13</v>
      </c>
      <c r="J24" t="s">
        <v>22</v>
      </c>
      <c r="K24" t="s">
        <v>39</v>
      </c>
      <c r="L24" s="2">
        <f>Merge1[[#This Row],[Table (2).Column2]]*Merge1[[#This Row],[Quantity]]</f>
        <v>1400</v>
      </c>
      <c r="M24" s="2">
        <f>Merge1[[#This Row],[Unit_Price]]*Merge1[[#This Row],[Quantity]]</f>
        <v>2400</v>
      </c>
      <c r="N24" s="2">
        <f>Merge1[[#This Row],[Revenue]]-Merge1[[#This Row],[Cost of Goods sold]]</f>
        <v>1000</v>
      </c>
      <c r="O24" s="6">
        <f>Merge1[[#This Row],[Gross Profit]]/Merge1[[#This Row],[Revenue]]</f>
        <v>0.41666666666666669</v>
      </c>
    </row>
    <row r="25" spans="1:15" x14ac:dyDescent="0.25">
      <c r="A25">
        <v>1024</v>
      </c>
      <c r="B25" s="1">
        <v>46249</v>
      </c>
      <c r="C25" t="s">
        <v>21</v>
      </c>
      <c r="D25" t="s">
        <v>29</v>
      </c>
      <c r="E25" t="s">
        <v>23</v>
      </c>
      <c r="F25">
        <v>1</v>
      </c>
      <c r="G25">
        <v>1800</v>
      </c>
      <c r="H25" t="s">
        <v>12</v>
      </c>
      <c r="I25" t="s">
        <v>18</v>
      </c>
      <c r="J25" t="s">
        <v>29</v>
      </c>
      <c r="K25" t="s">
        <v>36</v>
      </c>
      <c r="L25" s="2">
        <f>Merge1[[#This Row],[Table (2).Column2]]*Merge1[[#This Row],[Quantity]]</f>
        <v>1100</v>
      </c>
      <c r="M25" s="2">
        <f>Merge1[[#This Row],[Unit_Price]]*Merge1[[#This Row],[Quantity]]</f>
        <v>1800</v>
      </c>
      <c r="N25" s="2">
        <f>Merge1[[#This Row],[Revenue]]-Merge1[[#This Row],[Cost of Goods sold]]</f>
        <v>700</v>
      </c>
      <c r="O25" s="6">
        <f>Merge1[[#This Row],[Gross Profit]]/Merge1[[#This Row],[Revenue]]</f>
        <v>0.3888888888888889</v>
      </c>
    </row>
    <row r="26" spans="1:15" x14ac:dyDescent="0.25">
      <c r="A26">
        <v>1025</v>
      </c>
      <c r="B26" s="1">
        <v>46249</v>
      </c>
      <c r="C26" t="s">
        <v>24</v>
      </c>
      <c r="D26" t="s">
        <v>15</v>
      </c>
      <c r="E26" t="s">
        <v>11</v>
      </c>
      <c r="F26">
        <v>5</v>
      </c>
      <c r="G26">
        <v>500</v>
      </c>
      <c r="H26" t="s">
        <v>17</v>
      </c>
      <c r="I26" t="s">
        <v>18</v>
      </c>
      <c r="J26" t="s">
        <v>15</v>
      </c>
      <c r="K26" t="s">
        <v>38</v>
      </c>
      <c r="L26" s="2">
        <f>Merge1[[#This Row],[Table (2).Column2]]*Merge1[[#This Row],[Quantity]]</f>
        <v>1250</v>
      </c>
      <c r="M26" s="2">
        <f>Merge1[[#This Row],[Unit_Price]]*Merge1[[#This Row],[Quantity]]</f>
        <v>2500</v>
      </c>
      <c r="N26" s="2">
        <f>Merge1[[#This Row],[Revenue]]-Merge1[[#This Row],[Cost of Goods sold]]</f>
        <v>1250</v>
      </c>
      <c r="O26" s="6">
        <f>Merge1[[#This Row],[Gross Profit]]/Merge1[[#This Row],[Revenue]]</f>
        <v>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BC558-0C67-4244-97BC-A3CE5E2A61B8}">
  <dimension ref="A2:B6"/>
  <sheetViews>
    <sheetView workbookViewId="0">
      <selection activeCell="A6" sqref="A6"/>
    </sheetView>
  </sheetViews>
  <sheetFormatPr defaultRowHeight="15" x14ac:dyDescent="0.25"/>
  <cols>
    <col min="1" max="1" width="15" bestFit="1" customWidth="1"/>
    <col min="2" max="2" width="12.85546875" bestFit="1" customWidth="1"/>
  </cols>
  <sheetData>
    <row r="2" spans="1:2" x14ac:dyDescent="0.25">
      <c r="A2" t="s">
        <v>3</v>
      </c>
      <c r="B2" t="s">
        <v>35</v>
      </c>
    </row>
    <row r="3" spans="1:2" x14ac:dyDescent="0.25">
      <c r="A3" t="s">
        <v>29</v>
      </c>
      <c r="B3" s="2">
        <v>1100</v>
      </c>
    </row>
    <row r="4" spans="1:2" x14ac:dyDescent="0.25">
      <c r="A4" t="s">
        <v>10</v>
      </c>
      <c r="B4" s="2">
        <v>1700</v>
      </c>
    </row>
    <row r="5" spans="1:2" x14ac:dyDescent="0.25">
      <c r="A5" t="s">
        <v>15</v>
      </c>
      <c r="B5" s="2">
        <v>250</v>
      </c>
    </row>
    <row r="6" spans="1:2" x14ac:dyDescent="0.25">
      <c r="A6" t="s">
        <v>22</v>
      </c>
      <c r="B6" s="2">
        <v>700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86C8C-A937-4AFE-8568-7E9024676004}">
  <dimension ref="A1:I11"/>
  <sheetViews>
    <sheetView workbookViewId="0">
      <selection activeCell="I11" sqref="A1:I11"/>
    </sheetView>
  </sheetViews>
  <sheetFormatPr defaultRowHeight="15" x14ac:dyDescent="0.25"/>
  <cols>
    <col min="1" max="1" width="14.42578125" bestFit="1" customWidth="1"/>
    <col min="2" max="2" width="10.42578125" bestFit="1" customWidth="1"/>
    <col min="3" max="3" width="14.140625" bestFit="1" customWidth="1"/>
    <col min="4" max="4" width="15" bestFit="1" customWidth="1"/>
    <col min="5" max="5" width="11.5703125" bestFit="1" customWidth="1"/>
    <col min="6" max="6" width="8.42578125" bestFit="1" customWidth="1"/>
    <col min="7" max="7" width="9.85546875" bestFit="1" customWidth="1"/>
    <col min="8" max="8" width="16.140625" bestFit="1" customWidth="1"/>
    <col min="9" max="9" width="11.85546875" bestFit="1" customWidth="1"/>
  </cols>
  <sheetData>
    <row r="1" spans="1:9" x14ac:dyDescent="0.25">
      <c r="A1" t="s">
        <v>0</v>
      </c>
      <c r="B1" t="s">
        <v>1</v>
      </c>
      <c r="C1" t="s">
        <v>2</v>
      </c>
      <c r="D1" t="s">
        <v>3</v>
      </c>
      <c r="E1" t="s">
        <v>4</v>
      </c>
      <c r="F1" t="s">
        <v>5</v>
      </c>
      <c r="G1" t="s">
        <v>6</v>
      </c>
      <c r="H1" t="s">
        <v>7</v>
      </c>
      <c r="I1" t="s">
        <v>8</v>
      </c>
    </row>
    <row r="2" spans="1:9" x14ac:dyDescent="0.25">
      <c r="A2">
        <v>1026</v>
      </c>
      <c r="B2" s="1">
        <v>46250</v>
      </c>
      <c r="C2" t="s">
        <v>52</v>
      </c>
      <c r="D2" t="s">
        <v>53</v>
      </c>
      <c r="E2" t="s">
        <v>11</v>
      </c>
      <c r="F2">
        <v>4</v>
      </c>
      <c r="G2">
        <v>500</v>
      </c>
      <c r="H2" t="s">
        <v>17</v>
      </c>
      <c r="I2" t="s">
        <v>18</v>
      </c>
    </row>
    <row r="3" spans="1:9" x14ac:dyDescent="0.25">
      <c r="A3">
        <v>1027</v>
      </c>
      <c r="B3" s="1">
        <v>46250</v>
      </c>
      <c r="C3" t="s">
        <v>54</v>
      </c>
      <c r="D3" t="s">
        <v>10</v>
      </c>
      <c r="E3" t="s">
        <v>11</v>
      </c>
      <c r="F3">
        <v>1</v>
      </c>
      <c r="G3">
        <v>2500</v>
      </c>
      <c r="H3" t="s">
        <v>12</v>
      </c>
      <c r="I3" t="s">
        <v>13</v>
      </c>
    </row>
    <row r="4" spans="1:9" x14ac:dyDescent="0.25">
      <c r="A4">
        <v>1028</v>
      </c>
      <c r="B4" s="1">
        <v>46251</v>
      </c>
      <c r="C4" t="s">
        <v>21</v>
      </c>
      <c r="D4" t="s">
        <v>22</v>
      </c>
      <c r="E4" t="s">
        <v>23</v>
      </c>
      <c r="F4">
        <v>2</v>
      </c>
      <c r="G4">
        <v>1200</v>
      </c>
      <c r="H4" t="s">
        <v>17</v>
      </c>
      <c r="I4" t="s">
        <v>13</v>
      </c>
    </row>
    <row r="5" spans="1:9" x14ac:dyDescent="0.25">
      <c r="A5">
        <v>1029</v>
      </c>
      <c r="B5" s="1">
        <v>46251</v>
      </c>
      <c r="C5" t="s">
        <v>24</v>
      </c>
      <c r="D5" t="s">
        <v>29</v>
      </c>
      <c r="E5" t="s">
        <v>23</v>
      </c>
      <c r="F5">
        <v>3</v>
      </c>
      <c r="G5">
        <v>1800</v>
      </c>
      <c r="H5" t="s">
        <v>12</v>
      </c>
      <c r="I5" t="s">
        <v>18</v>
      </c>
    </row>
    <row r="6" spans="1:9" x14ac:dyDescent="0.25">
      <c r="A6">
        <v>1030</v>
      </c>
      <c r="B6" s="1">
        <v>46252</v>
      </c>
      <c r="C6" t="s">
        <v>52</v>
      </c>
      <c r="D6" t="s">
        <v>15</v>
      </c>
      <c r="E6" t="s">
        <v>16</v>
      </c>
      <c r="F6">
        <v>5</v>
      </c>
      <c r="G6">
        <v>500</v>
      </c>
      <c r="H6" t="s">
        <v>20</v>
      </c>
      <c r="I6" t="s">
        <v>18</v>
      </c>
    </row>
    <row r="7" spans="1:9" x14ac:dyDescent="0.25">
      <c r="A7">
        <v>1031</v>
      </c>
      <c r="B7" s="1">
        <v>46252</v>
      </c>
      <c r="C7" t="s">
        <v>54</v>
      </c>
      <c r="D7" t="s">
        <v>10</v>
      </c>
      <c r="E7" t="s">
        <v>11</v>
      </c>
      <c r="F7">
        <v>2</v>
      </c>
      <c r="G7">
        <v>2500</v>
      </c>
      <c r="H7" t="s">
        <v>12</v>
      </c>
      <c r="I7" t="s">
        <v>13</v>
      </c>
    </row>
    <row r="8" spans="1:9" x14ac:dyDescent="0.25">
      <c r="A8">
        <v>1032</v>
      </c>
      <c r="B8" s="1">
        <v>46253</v>
      </c>
      <c r="C8" t="s">
        <v>26</v>
      </c>
      <c r="D8" t="s">
        <v>22</v>
      </c>
      <c r="E8" t="s">
        <v>23</v>
      </c>
      <c r="F8">
        <v>1</v>
      </c>
      <c r="G8">
        <v>1200</v>
      </c>
      <c r="H8" t="s">
        <v>17</v>
      </c>
      <c r="I8" t="s">
        <v>13</v>
      </c>
    </row>
    <row r="9" spans="1:9" x14ac:dyDescent="0.25">
      <c r="A9">
        <v>1033</v>
      </c>
      <c r="B9" s="1">
        <v>46253</v>
      </c>
      <c r="C9" t="s">
        <v>14</v>
      </c>
      <c r="D9" t="s">
        <v>15</v>
      </c>
      <c r="E9" t="s">
        <v>11</v>
      </c>
      <c r="F9">
        <v>7</v>
      </c>
      <c r="G9">
        <v>500</v>
      </c>
      <c r="H9" t="s">
        <v>27</v>
      </c>
      <c r="I9" t="s">
        <v>18</v>
      </c>
    </row>
    <row r="10" spans="1:9" x14ac:dyDescent="0.25">
      <c r="A10">
        <v>1034</v>
      </c>
      <c r="B10" s="1">
        <v>46254</v>
      </c>
      <c r="C10" t="s">
        <v>21</v>
      </c>
      <c r="D10" t="s">
        <v>29</v>
      </c>
      <c r="E10" t="s">
        <v>23</v>
      </c>
      <c r="F10">
        <v>1</v>
      </c>
      <c r="G10">
        <v>1800</v>
      </c>
      <c r="H10" t="s">
        <v>12</v>
      </c>
      <c r="I10" t="s">
        <v>18</v>
      </c>
    </row>
    <row r="11" spans="1:9" x14ac:dyDescent="0.25">
      <c r="A11">
        <v>1035</v>
      </c>
      <c r="B11" s="1">
        <v>46254</v>
      </c>
      <c r="C11" t="s">
        <v>24</v>
      </c>
      <c r="D11" t="s">
        <v>10</v>
      </c>
      <c r="E11" t="s">
        <v>11</v>
      </c>
      <c r="F11">
        <v>2</v>
      </c>
      <c r="G11">
        <v>2500</v>
      </c>
      <c r="H11" t="s">
        <v>17</v>
      </c>
      <c r="I11" t="s">
        <v>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E9A0C-A7B2-4F5D-9D73-91D99AD87236}">
  <dimension ref="A1:I11"/>
  <sheetViews>
    <sheetView workbookViewId="0"/>
  </sheetViews>
  <sheetFormatPr defaultRowHeight="15" x14ac:dyDescent="0.25"/>
  <cols>
    <col min="1" max="1" width="16.7109375" bestFit="1" customWidth="1"/>
    <col min="2" max="2" width="10.42578125" bestFit="1" customWidth="1"/>
    <col min="3" max="3" width="14.140625" bestFit="1" customWidth="1"/>
    <col min="4" max="4" width="15" bestFit="1" customWidth="1"/>
    <col min="5" max="5" width="11.5703125" bestFit="1" customWidth="1"/>
    <col min="6" max="6" width="11" bestFit="1" customWidth="1"/>
    <col min="7" max="7" width="12.42578125" bestFit="1" customWidth="1"/>
    <col min="8" max="8" width="19" bestFit="1" customWidth="1"/>
    <col min="9" max="9" width="14.42578125" bestFit="1" customWidth="1"/>
  </cols>
  <sheetData>
    <row r="1" spans="1:9" x14ac:dyDescent="0.25">
      <c r="A1" t="s">
        <v>0</v>
      </c>
      <c r="B1" t="s">
        <v>1</v>
      </c>
      <c r="C1" t="s">
        <v>2</v>
      </c>
      <c r="D1" t="s">
        <v>3</v>
      </c>
      <c r="E1" t="s">
        <v>4</v>
      </c>
      <c r="F1" t="s">
        <v>5</v>
      </c>
      <c r="G1" t="s">
        <v>6</v>
      </c>
      <c r="H1" t="s">
        <v>7</v>
      </c>
      <c r="I1" t="s">
        <v>8</v>
      </c>
    </row>
    <row r="2" spans="1:9" x14ac:dyDescent="0.25">
      <c r="A2">
        <v>1026</v>
      </c>
      <c r="B2" s="1">
        <v>46250</v>
      </c>
      <c r="C2" t="s">
        <v>52</v>
      </c>
      <c r="D2" t="s">
        <v>55</v>
      </c>
      <c r="E2" t="s">
        <v>11</v>
      </c>
      <c r="F2">
        <v>4</v>
      </c>
      <c r="G2">
        <v>500</v>
      </c>
      <c r="H2" t="s">
        <v>17</v>
      </c>
      <c r="I2" t="s">
        <v>18</v>
      </c>
    </row>
    <row r="3" spans="1:9" x14ac:dyDescent="0.25">
      <c r="A3">
        <v>1027</v>
      </c>
      <c r="B3" s="1">
        <v>46250</v>
      </c>
      <c r="C3" t="s">
        <v>54</v>
      </c>
      <c r="D3" t="s">
        <v>10</v>
      </c>
      <c r="E3" t="s">
        <v>11</v>
      </c>
      <c r="F3">
        <v>1</v>
      </c>
      <c r="G3">
        <v>2500</v>
      </c>
      <c r="H3" t="s">
        <v>12</v>
      </c>
      <c r="I3" t="s">
        <v>13</v>
      </c>
    </row>
    <row r="4" spans="1:9" x14ac:dyDescent="0.25">
      <c r="A4">
        <v>1028</v>
      </c>
      <c r="B4" s="1">
        <v>46251</v>
      </c>
      <c r="C4" t="s">
        <v>21</v>
      </c>
      <c r="D4" t="s">
        <v>22</v>
      </c>
      <c r="E4" t="s">
        <v>23</v>
      </c>
      <c r="F4">
        <v>2</v>
      </c>
      <c r="G4">
        <v>1200</v>
      </c>
      <c r="H4" t="s">
        <v>17</v>
      </c>
      <c r="I4" t="s">
        <v>13</v>
      </c>
    </row>
    <row r="5" spans="1:9" x14ac:dyDescent="0.25">
      <c r="A5">
        <v>1029</v>
      </c>
      <c r="B5" s="1">
        <v>46251</v>
      </c>
      <c r="C5" t="s">
        <v>24</v>
      </c>
      <c r="D5" t="s">
        <v>29</v>
      </c>
      <c r="E5" t="s">
        <v>23</v>
      </c>
      <c r="F5">
        <v>3</v>
      </c>
      <c r="G5">
        <v>1800</v>
      </c>
      <c r="H5" t="s">
        <v>12</v>
      </c>
      <c r="I5" t="s">
        <v>18</v>
      </c>
    </row>
    <row r="6" spans="1:9" x14ac:dyDescent="0.25">
      <c r="A6">
        <v>1030</v>
      </c>
      <c r="B6" s="1">
        <v>46252</v>
      </c>
      <c r="C6" t="s">
        <v>52</v>
      </c>
      <c r="D6" t="s">
        <v>55</v>
      </c>
      <c r="E6" t="s">
        <v>11</v>
      </c>
      <c r="F6">
        <v>5</v>
      </c>
      <c r="G6">
        <v>500</v>
      </c>
      <c r="H6" t="s">
        <v>17</v>
      </c>
      <c r="I6" t="s">
        <v>18</v>
      </c>
    </row>
    <row r="7" spans="1:9" x14ac:dyDescent="0.25">
      <c r="A7">
        <v>1031</v>
      </c>
      <c r="B7" s="1">
        <v>46252</v>
      </c>
      <c r="C7" t="s">
        <v>54</v>
      </c>
      <c r="D7" t="s">
        <v>10</v>
      </c>
      <c r="E7" t="s">
        <v>11</v>
      </c>
      <c r="F7">
        <v>2</v>
      </c>
      <c r="G7">
        <v>2500</v>
      </c>
      <c r="H7" t="s">
        <v>12</v>
      </c>
      <c r="I7" t="s">
        <v>13</v>
      </c>
    </row>
    <row r="8" spans="1:9" x14ac:dyDescent="0.25">
      <c r="A8">
        <v>1032</v>
      </c>
      <c r="B8" s="1">
        <v>46253</v>
      </c>
      <c r="C8" t="s">
        <v>26</v>
      </c>
      <c r="D8" t="s">
        <v>22</v>
      </c>
      <c r="E8" t="s">
        <v>23</v>
      </c>
      <c r="F8">
        <v>1</v>
      </c>
      <c r="G8">
        <v>1200</v>
      </c>
      <c r="H8" t="s">
        <v>17</v>
      </c>
      <c r="I8" t="s">
        <v>13</v>
      </c>
    </row>
    <row r="9" spans="1:9" x14ac:dyDescent="0.25">
      <c r="A9">
        <v>1033</v>
      </c>
      <c r="B9" s="1">
        <v>46253</v>
      </c>
      <c r="C9" t="s">
        <v>14</v>
      </c>
      <c r="D9" t="s">
        <v>55</v>
      </c>
      <c r="E9" t="s">
        <v>11</v>
      </c>
      <c r="F9">
        <v>7</v>
      </c>
      <c r="G9">
        <v>500</v>
      </c>
      <c r="H9" t="s">
        <v>17</v>
      </c>
      <c r="I9" t="s">
        <v>18</v>
      </c>
    </row>
    <row r="10" spans="1:9" x14ac:dyDescent="0.25">
      <c r="A10">
        <v>1034</v>
      </c>
      <c r="B10" s="1">
        <v>46254</v>
      </c>
      <c r="C10" t="s">
        <v>21</v>
      </c>
      <c r="D10" t="s">
        <v>29</v>
      </c>
      <c r="E10" t="s">
        <v>23</v>
      </c>
      <c r="F10">
        <v>1</v>
      </c>
      <c r="G10">
        <v>1800</v>
      </c>
      <c r="H10" t="s">
        <v>12</v>
      </c>
      <c r="I10" t="s">
        <v>18</v>
      </c>
    </row>
    <row r="11" spans="1:9" x14ac:dyDescent="0.25">
      <c r="A11">
        <v>1035</v>
      </c>
      <c r="B11" s="1">
        <v>46254</v>
      </c>
      <c r="C11" t="s">
        <v>24</v>
      </c>
      <c r="D11" t="s">
        <v>10</v>
      </c>
      <c r="E11" t="s">
        <v>11</v>
      </c>
      <c r="F11">
        <v>2</v>
      </c>
      <c r="G11">
        <v>2500</v>
      </c>
      <c r="H11" t="s">
        <v>17</v>
      </c>
      <c r="I11" t="s">
        <v>13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5B24B-1AD3-4F59-BAC3-69ACA08EA8EF}">
  <dimension ref="A1:I36"/>
  <sheetViews>
    <sheetView workbookViewId="0"/>
  </sheetViews>
  <sheetFormatPr defaultRowHeight="15" x14ac:dyDescent="0.25"/>
  <cols>
    <col min="1" max="1" width="16.7109375" bestFit="1" customWidth="1"/>
    <col min="2" max="2" width="10.42578125" bestFit="1" customWidth="1"/>
    <col min="3" max="3" width="14.140625" bestFit="1" customWidth="1"/>
    <col min="4" max="4" width="15" bestFit="1" customWidth="1"/>
    <col min="5" max="5" width="11.5703125" bestFit="1" customWidth="1"/>
    <col min="6" max="6" width="11" bestFit="1" customWidth="1"/>
    <col min="7" max="7" width="12.42578125" bestFit="1" customWidth="1"/>
    <col min="8" max="8" width="19" bestFit="1" customWidth="1"/>
    <col min="9" max="9" width="14.42578125" bestFit="1" customWidth="1"/>
  </cols>
  <sheetData>
    <row r="1" spans="1:9" x14ac:dyDescent="0.25">
      <c r="A1" t="s">
        <v>0</v>
      </c>
      <c r="B1" t="s">
        <v>1</v>
      </c>
      <c r="C1" t="s">
        <v>2</v>
      </c>
      <c r="D1" t="s">
        <v>3</v>
      </c>
      <c r="E1" t="s">
        <v>4</v>
      </c>
      <c r="F1" t="s">
        <v>5</v>
      </c>
      <c r="G1" t="s">
        <v>6</v>
      </c>
      <c r="H1" t="s">
        <v>7</v>
      </c>
      <c r="I1" t="s">
        <v>8</v>
      </c>
    </row>
    <row r="2" spans="1:9" x14ac:dyDescent="0.25">
      <c r="A2">
        <v>1001</v>
      </c>
      <c r="B2" s="1">
        <v>46235</v>
      </c>
      <c r="C2" t="s">
        <v>9</v>
      </c>
      <c r="D2" t="s">
        <v>10</v>
      </c>
      <c r="E2" t="s">
        <v>11</v>
      </c>
      <c r="F2">
        <v>2</v>
      </c>
      <c r="G2">
        <v>2500</v>
      </c>
      <c r="H2" t="s">
        <v>12</v>
      </c>
      <c r="I2" t="s">
        <v>13</v>
      </c>
    </row>
    <row r="3" spans="1:9" x14ac:dyDescent="0.25">
      <c r="A3">
        <v>1002</v>
      </c>
      <c r="B3" s="1">
        <v>46235</v>
      </c>
      <c r="C3" t="s">
        <v>14</v>
      </c>
      <c r="D3" t="s">
        <v>15</v>
      </c>
      <c r="E3" t="s">
        <v>11</v>
      </c>
      <c r="F3">
        <v>3</v>
      </c>
      <c r="G3">
        <v>500</v>
      </c>
      <c r="H3" t="s">
        <v>17</v>
      </c>
      <c r="I3" t="s">
        <v>18</v>
      </c>
    </row>
    <row r="4" spans="1:9" x14ac:dyDescent="0.25">
      <c r="A4">
        <v>1003</v>
      </c>
      <c r="B4" s="1">
        <v>46236</v>
      </c>
      <c r="C4" t="s">
        <v>19</v>
      </c>
      <c r="D4" t="s">
        <v>10</v>
      </c>
      <c r="E4" t="s">
        <v>11</v>
      </c>
      <c r="F4">
        <v>1</v>
      </c>
      <c r="G4">
        <v>2500</v>
      </c>
      <c r="H4" t="s">
        <v>17</v>
      </c>
      <c r="I4" t="s">
        <v>13</v>
      </c>
    </row>
    <row r="5" spans="1:9" x14ac:dyDescent="0.25">
      <c r="A5">
        <v>1004</v>
      </c>
      <c r="B5" s="1">
        <v>46237</v>
      </c>
      <c r="C5" t="s">
        <v>21</v>
      </c>
      <c r="D5" t="s">
        <v>22</v>
      </c>
      <c r="E5" t="s">
        <v>23</v>
      </c>
      <c r="F5">
        <v>2</v>
      </c>
      <c r="G5">
        <v>1200</v>
      </c>
      <c r="H5" t="s">
        <v>12</v>
      </c>
      <c r="I5" t="s">
        <v>13</v>
      </c>
    </row>
    <row r="6" spans="1:9" x14ac:dyDescent="0.25">
      <c r="A6">
        <v>1005</v>
      </c>
      <c r="B6" s="1">
        <v>46237</v>
      </c>
      <c r="C6" t="s">
        <v>24</v>
      </c>
      <c r="D6" t="s">
        <v>29</v>
      </c>
      <c r="E6" t="s">
        <v>23</v>
      </c>
      <c r="F6">
        <v>1</v>
      </c>
      <c r="G6">
        <v>1800</v>
      </c>
      <c r="H6" t="s">
        <v>17</v>
      </c>
      <c r="I6" t="s">
        <v>18</v>
      </c>
    </row>
    <row r="7" spans="1:9" x14ac:dyDescent="0.25">
      <c r="A7">
        <v>1006</v>
      </c>
      <c r="B7" s="1">
        <v>46238</v>
      </c>
      <c r="C7" t="s">
        <v>26</v>
      </c>
      <c r="D7" t="s">
        <v>15</v>
      </c>
      <c r="E7" t="s">
        <v>11</v>
      </c>
      <c r="F7">
        <v>5</v>
      </c>
      <c r="G7">
        <v>500</v>
      </c>
      <c r="H7" t="s">
        <v>17</v>
      </c>
      <c r="I7" t="s">
        <v>18</v>
      </c>
    </row>
    <row r="8" spans="1:9" x14ac:dyDescent="0.25">
      <c r="A8">
        <v>1007</v>
      </c>
      <c r="B8" s="1">
        <v>46238</v>
      </c>
      <c r="C8" t="s">
        <v>9</v>
      </c>
      <c r="D8" t="s">
        <v>10</v>
      </c>
      <c r="E8" t="s">
        <v>11</v>
      </c>
      <c r="F8">
        <v>2</v>
      </c>
      <c r="G8">
        <v>2500</v>
      </c>
      <c r="H8" t="s">
        <v>12</v>
      </c>
      <c r="I8" t="s">
        <v>13</v>
      </c>
    </row>
    <row r="9" spans="1:9" x14ac:dyDescent="0.25">
      <c r="A9">
        <v>1008</v>
      </c>
      <c r="B9" s="1">
        <v>46239</v>
      </c>
      <c r="C9" t="s">
        <v>14</v>
      </c>
      <c r="D9" t="s">
        <v>22</v>
      </c>
      <c r="E9" t="s">
        <v>23</v>
      </c>
      <c r="F9">
        <v>1</v>
      </c>
      <c r="G9">
        <v>1200</v>
      </c>
      <c r="H9" t="s">
        <v>17</v>
      </c>
      <c r="I9" t="s">
        <v>13</v>
      </c>
    </row>
    <row r="10" spans="1:9" x14ac:dyDescent="0.25">
      <c r="A10">
        <v>1009</v>
      </c>
      <c r="B10" s="1">
        <v>46239</v>
      </c>
      <c r="C10" t="s">
        <v>21</v>
      </c>
      <c r="D10" t="s">
        <v>29</v>
      </c>
      <c r="E10" t="s">
        <v>23</v>
      </c>
      <c r="F10">
        <v>2</v>
      </c>
      <c r="G10">
        <v>1800</v>
      </c>
      <c r="H10" t="s">
        <v>12</v>
      </c>
      <c r="I10" t="s">
        <v>18</v>
      </c>
    </row>
    <row r="11" spans="1:9" x14ac:dyDescent="0.25">
      <c r="A11">
        <v>1010</v>
      </c>
      <c r="B11" s="1">
        <v>46240</v>
      </c>
      <c r="C11" t="s">
        <v>24</v>
      </c>
      <c r="D11" t="s">
        <v>15</v>
      </c>
      <c r="E11" t="s">
        <v>11</v>
      </c>
      <c r="F11">
        <v>4</v>
      </c>
      <c r="G11">
        <v>500</v>
      </c>
      <c r="H11" t="s">
        <v>17</v>
      </c>
      <c r="I11" t="s">
        <v>18</v>
      </c>
    </row>
    <row r="12" spans="1:9" x14ac:dyDescent="0.25">
      <c r="A12">
        <v>1011</v>
      </c>
      <c r="B12" s="1">
        <v>46240</v>
      </c>
      <c r="C12" t="s">
        <v>26</v>
      </c>
      <c r="D12" t="s">
        <v>10</v>
      </c>
      <c r="E12" t="s">
        <v>11</v>
      </c>
      <c r="F12">
        <v>1</v>
      </c>
      <c r="G12">
        <v>2500</v>
      </c>
      <c r="H12" t="s">
        <v>17</v>
      </c>
      <c r="I12" t="s">
        <v>13</v>
      </c>
    </row>
    <row r="13" spans="1:9" x14ac:dyDescent="0.25">
      <c r="A13">
        <v>1012</v>
      </c>
      <c r="B13" s="1">
        <v>46241</v>
      </c>
      <c r="C13" t="s">
        <v>9</v>
      </c>
      <c r="D13" t="s">
        <v>22</v>
      </c>
      <c r="E13" t="s">
        <v>23</v>
      </c>
      <c r="F13">
        <v>2</v>
      </c>
      <c r="G13">
        <v>1200</v>
      </c>
      <c r="H13" t="s">
        <v>12</v>
      </c>
      <c r="I13" t="s">
        <v>13</v>
      </c>
    </row>
    <row r="14" spans="1:9" x14ac:dyDescent="0.25">
      <c r="A14">
        <v>1013</v>
      </c>
      <c r="B14" s="1">
        <v>46242</v>
      </c>
      <c r="C14" t="s">
        <v>14</v>
      </c>
      <c r="D14" t="s">
        <v>29</v>
      </c>
      <c r="E14" t="s">
        <v>23</v>
      </c>
      <c r="F14">
        <v>1</v>
      </c>
      <c r="G14">
        <v>1800</v>
      </c>
      <c r="H14" t="s">
        <v>17</v>
      </c>
      <c r="I14" t="s">
        <v>18</v>
      </c>
    </row>
    <row r="15" spans="1:9" x14ac:dyDescent="0.25">
      <c r="A15">
        <v>1014</v>
      </c>
      <c r="B15" s="1">
        <v>46242</v>
      </c>
      <c r="C15" t="s">
        <v>21</v>
      </c>
      <c r="D15" t="s">
        <v>15</v>
      </c>
      <c r="E15" t="s">
        <v>11</v>
      </c>
      <c r="F15">
        <v>3</v>
      </c>
      <c r="G15">
        <v>500</v>
      </c>
      <c r="H15" t="s">
        <v>17</v>
      </c>
      <c r="I15" t="s">
        <v>18</v>
      </c>
    </row>
    <row r="16" spans="1:9" x14ac:dyDescent="0.25">
      <c r="A16">
        <v>1015</v>
      </c>
      <c r="B16" s="1">
        <v>46243</v>
      </c>
      <c r="C16" t="s">
        <v>24</v>
      </c>
      <c r="D16" t="s">
        <v>10</v>
      </c>
      <c r="E16" t="s">
        <v>11</v>
      </c>
      <c r="F16">
        <v>2</v>
      </c>
      <c r="G16">
        <v>2500</v>
      </c>
      <c r="H16" t="s">
        <v>12</v>
      </c>
      <c r="I16" t="s">
        <v>13</v>
      </c>
    </row>
    <row r="17" spans="1:9" x14ac:dyDescent="0.25">
      <c r="A17">
        <v>1016</v>
      </c>
      <c r="B17" s="1">
        <v>46244</v>
      </c>
      <c r="C17" t="s">
        <v>26</v>
      </c>
      <c r="D17" t="s">
        <v>22</v>
      </c>
      <c r="E17" t="s">
        <v>23</v>
      </c>
      <c r="F17">
        <v>1</v>
      </c>
      <c r="G17">
        <v>1200</v>
      </c>
      <c r="H17" t="s">
        <v>17</v>
      </c>
      <c r="I17" t="s">
        <v>13</v>
      </c>
    </row>
    <row r="18" spans="1:9" x14ac:dyDescent="0.25">
      <c r="A18">
        <v>1017</v>
      </c>
      <c r="B18" s="1">
        <v>46244</v>
      </c>
      <c r="C18" t="s">
        <v>9</v>
      </c>
      <c r="D18" t="s">
        <v>15</v>
      </c>
      <c r="E18" t="s">
        <v>11</v>
      </c>
      <c r="F18">
        <v>6</v>
      </c>
      <c r="G18">
        <v>500</v>
      </c>
      <c r="H18" t="s">
        <v>12</v>
      </c>
      <c r="I18" t="s">
        <v>18</v>
      </c>
    </row>
    <row r="19" spans="1:9" x14ac:dyDescent="0.25">
      <c r="A19">
        <v>1018</v>
      </c>
      <c r="B19" s="1">
        <v>46245</v>
      </c>
      <c r="C19" t="s">
        <v>14</v>
      </c>
      <c r="D19" t="s">
        <v>10</v>
      </c>
      <c r="E19" t="s">
        <v>11</v>
      </c>
      <c r="F19">
        <v>1</v>
      </c>
      <c r="G19">
        <v>2500</v>
      </c>
      <c r="H19" t="s">
        <v>17</v>
      </c>
      <c r="I19" t="s">
        <v>13</v>
      </c>
    </row>
    <row r="20" spans="1:9" x14ac:dyDescent="0.25">
      <c r="A20">
        <v>1019</v>
      </c>
      <c r="B20" s="1">
        <v>46246</v>
      </c>
      <c r="C20" t="s">
        <v>21</v>
      </c>
      <c r="D20" t="s">
        <v>29</v>
      </c>
      <c r="E20" t="s">
        <v>23</v>
      </c>
      <c r="F20">
        <v>2</v>
      </c>
      <c r="G20">
        <v>1800</v>
      </c>
      <c r="H20" t="s">
        <v>12</v>
      </c>
      <c r="I20" t="s">
        <v>18</v>
      </c>
    </row>
    <row r="21" spans="1:9" x14ac:dyDescent="0.25">
      <c r="A21">
        <v>1020</v>
      </c>
      <c r="B21" s="1">
        <v>46246</v>
      </c>
      <c r="C21" t="s">
        <v>24</v>
      </c>
      <c r="D21" t="s">
        <v>22</v>
      </c>
      <c r="E21" t="s">
        <v>23</v>
      </c>
      <c r="F21">
        <v>3</v>
      </c>
      <c r="G21">
        <v>1200</v>
      </c>
      <c r="H21" t="s">
        <v>17</v>
      </c>
      <c r="I21" t="s">
        <v>13</v>
      </c>
    </row>
    <row r="22" spans="1:9" x14ac:dyDescent="0.25">
      <c r="A22">
        <v>1021</v>
      </c>
      <c r="B22" s="1">
        <v>46247</v>
      </c>
      <c r="C22" t="s">
        <v>26</v>
      </c>
      <c r="D22" t="s">
        <v>15</v>
      </c>
      <c r="E22" t="s">
        <v>11</v>
      </c>
      <c r="F22">
        <v>2</v>
      </c>
      <c r="G22">
        <v>500</v>
      </c>
      <c r="H22" t="s">
        <v>17</v>
      </c>
      <c r="I22" t="s">
        <v>18</v>
      </c>
    </row>
    <row r="23" spans="1:9" x14ac:dyDescent="0.25">
      <c r="A23">
        <v>1022</v>
      </c>
      <c r="B23" s="1">
        <v>46248</v>
      </c>
      <c r="C23" t="s">
        <v>9</v>
      </c>
      <c r="D23" t="s">
        <v>10</v>
      </c>
      <c r="E23" t="s">
        <v>11</v>
      </c>
      <c r="F23">
        <v>1</v>
      </c>
      <c r="G23">
        <v>2500</v>
      </c>
      <c r="H23" t="s">
        <v>12</v>
      </c>
      <c r="I23" t="s">
        <v>13</v>
      </c>
    </row>
    <row r="24" spans="1:9" x14ac:dyDescent="0.25">
      <c r="A24">
        <v>1023</v>
      </c>
      <c r="B24" s="1">
        <v>46248</v>
      </c>
      <c r="C24" t="s">
        <v>14</v>
      </c>
      <c r="D24" t="s">
        <v>22</v>
      </c>
      <c r="E24" t="s">
        <v>23</v>
      </c>
      <c r="F24">
        <v>2</v>
      </c>
      <c r="G24">
        <v>1200</v>
      </c>
      <c r="H24" t="s">
        <v>17</v>
      </c>
      <c r="I24" t="s">
        <v>13</v>
      </c>
    </row>
    <row r="25" spans="1:9" x14ac:dyDescent="0.25">
      <c r="A25">
        <v>1024</v>
      </c>
      <c r="B25" s="1">
        <v>46249</v>
      </c>
      <c r="C25" t="s">
        <v>21</v>
      </c>
      <c r="D25" t="s">
        <v>29</v>
      </c>
      <c r="E25" t="s">
        <v>23</v>
      </c>
      <c r="F25">
        <v>1</v>
      </c>
      <c r="G25">
        <v>1800</v>
      </c>
      <c r="H25" t="s">
        <v>12</v>
      </c>
      <c r="I25" t="s">
        <v>18</v>
      </c>
    </row>
    <row r="26" spans="1:9" x14ac:dyDescent="0.25">
      <c r="A26">
        <v>1025</v>
      </c>
      <c r="B26" s="1">
        <v>46249</v>
      </c>
      <c r="C26" t="s">
        <v>24</v>
      </c>
      <c r="D26" t="s">
        <v>15</v>
      </c>
      <c r="E26" t="s">
        <v>11</v>
      </c>
      <c r="F26">
        <v>5</v>
      </c>
      <c r="G26">
        <v>500</v>
      </c>
      <c r="H26" t="s">
        <v>17</v>
      </c>
      <c r="I26" t="s">
        <v>18</v>
      </c>
    </row>
    <row r="27" spans="1:9" x14ac:dyDescent="0.25">
      <c r="A27">
        <v>1026</v>
      </c>
      <c r="B27" s="1">
        <v>46250</v>
      </c>
      <c r="C27" t="s">
        <v>52</v>
      </c>
      <c r="D27" t="s">
        <v>15</v>
      </c>
      <c r="E27" t="s">
        <v>11</v>
      </c>
      <c r="F27">
        <v>4</v>
      </c>
      <c r="G27">
        <v>500</v>
      </c>
      <c r="H27" t="s">
        <v>17</v>
      </c>
      <c r="I27" t="s">
        <v>18</v>
      </c>
    </row>
    <row r="28" spans="1:9" x14ac:dyDescent="0.25">
      <c r="A28">
        <v>1027</v>
      </c>
      <c r="B28" s="1">
        <v>46250</v>
      </c>
      <c r="C28" t="s">
        <v>54</v>
      </c>
      <c r="D28" t="s">
        <v>10</v>
      </c>
      <c r="E28" t="s">
        <v>11</v>
      </c>
      <c r="F28">
        <v>1</v>
      </c>
      <c r="G28">
        <v>2500</v>
      </c>
      <c r="H28" t="s">
        <v>12</v>
      </c>
      <c r="I28" t="s">
        <v>13</v>
      </c>
    </row>
    <row r="29" spans="1:9" x14ac:dyDescent="0.25">
      <c r="A29">
        <v>1028</v>
      </c>
      <c r="B29" s="1">
        <v>46251</v>
      </c>
      <c r="C29" t="s">
        <v>21</v>
      </c>
      <c r="D29" t="s">
        <v>22</v>
      </c>
      <c r="E29" t="s">
        <v>23</v>
      </c>
      <c r="F29">
        <v>2</v>
      </c>
      <c r="G29">
        <v>1200</v>
      </c>
      <c r="H29" t="s">
        <v>17</v>
      </c>
      <c r="I29" t="s">
        <v>13</v>
      </c>
    </row>
    <row r="30" spans="1:9" x14ac:dyDescent="0.25">
      <c r="A30">
        <v>1029</v>
      </c>
      <c r="B30" s="1">
        <v>46251</v>
      </c>
      <c r="C30" t="s">
        <v>24</v>
      </c>
      <c r="D30" t="s">
        <v>29</v>
      </c>
      <c r="E30" t="s">
        <v>23</v>
      </c>
      <c r="F30">
        <v>3</v>
      </c>
      <c r="G30">
        <v>1800</v>
      </c>
      <c r="H30" t="s">
        <v>12</v>
      </c>
      <c r="I30" t="s">
        <v>18</v>
      </c>
    </row>
    <row r="31" spans="1:9" x14ac:dyDescent="0.25">
      <c r="A31">
        <v>1030</v>
      </c>
      <c r="B31" s="1">
        <v>46252</v>
      </c>
      <c r="C31" t="s">
        <v>52</v>
      </c>
      <c r="D31" t="s">
        <v>15</v>
      </c>
      <c r="E31" t="s">
        <v>11</v>
      </c>
      <c r="F31">
        <v>5</v>
      </c>
      <c r="G31">
        <v>500</v>
      </c>
      <c r="H31" t="s">
        <v>17</v>
      </c>
      <c r="I31" t="s">
        <v>18</v>
      </c>
    </row>
    <row r="32" spans="1:9" x14ac:dyDescent="0.25">
      <c r="A32">
        <v>1031</v>
      </c>
      <c r="B32" s="1">
        <v>46252</v>
      </c>
      <c r="C32" t="s">
        <v>54</v>
      </c>
      <c r="D32" t="s">
        <v>10</v>
      </c>
      <c r="E32" t="s">
        <v>11</v>
      </c>
      <c r="F32">
        <v>2</v>
      </c>
      <c r="G32">
        <v>2500</v>
      </c>
      <c r="H32" t="s">
        <v>12</v>
      </c>
      <c r="I32" t="s">
        <v>13</v>
      </c>
    </row>
    <row r="33" spans="1:9" x14ac:dyDescent="0.25">
      <c r="A33">
        <v>1032</v>
      </c>
      <c r="B33" s="1">
        <v>46253</v>
      </c>
      <c r="C33" t="s">
        <v>26</v>
      </c>
      <c r="D33" t="s">
        <v>22</v>
      </c>
      <c r="E33" t="s">
        <v>23</v>
      </c>
      <c r="F33">
        <v>1</v>
      </c>
      <c r="G33">
        <v>1200</v>
      </c>
      <c r="H33" t="s">
        <v>17</v>
      </c>
      <c r="I33" t="s">
        <v>13</v>
      </c>
    </row>
    <row r="34" spans="1:9" x14ac:dyDescent="0.25">
      <c r="A34">
        <v>1033</v>
      </c>
      <c r="B34" s="1">
        <v>46253</v>
      </c>
      <c r="C34" t="s">
        <v>14</v>
      </c>
      <c r="D34" t="s">
        <v>15</v>
      </c>
      <c r="E34" t="s">
        <v>11</v>
      </c>
      <c r="F34">
        <v>7</v>
      </c>
      <c r="G34">
        <v>500</v>
      </c>
      <c r="H34" t="s">
        <v>17</v>
      </c>
      <c r="I34" t="s">
        <v>18</v>
      </c>
    </row>
    <row r="35" spans="1:9" x14ac:dyDescent="0.25">
      <c r="A35">
        <v>1034</v>
      </c>
      <c r="B35" s="1">
        <v>46254</v>
      </c>
      <c r="C35" t="s">
        <v>21</v>
      </c>
      <c r="D35" t="s">
        <v>29</v>
      </c>
      <c r="E35" t="s">
        <v>23</v>
      </c>
      <c r="F35">
        <v>1</v>
      </c>
      <c r="G35">
        <v>1800</v>
      </c>
      <c r="H35" t="s">
        <v>12</v>
      </c>
      <c r="I35" t="s">
        <v>18</v>
      </c>
    </row>
    <row r="36" spans="1:9" x14ac:dyDescent="0.25">
      <c r="A36">
        <v>1035</v>
      </c>
      <c r="B36" s="1">
        <v>46254</v>
      </c>
      <c r="C36" t="s">
        <v>24</v>
      </c>
      <c r="D36" t="s">
        <v>10</v>
      </c>
      <c r="E36" t="s">
        <v>11</v>
      </c>
      <c r="F36">
        <v>2</v>
      </c>
      <c r="G36">
        <v>2500</v>
      </c>
      <c r="H36" t="s">
        <v>17</v>
      </c>
      <c r="I36" t="s">
        <v>13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1E2F-B419-4BE4-8935-697256C9645D}">
  <dimension ref="A1:O36"/>
  <sheetViews>
    <sheetView workbookViewId="0">
      <selection activeCell="P5" sqref="P5"/>
    </sheetView>
  </sheetViews>
  <sheetFormatPr defaultRowHeight="15" x14ac:dyDescent="0.25"/>
  <cols>
    <col min="1" max="1" width="16.7109375" bestFit="1" customWidth="1"/>
    <col min="2" max="2" width="10.42578125" bestFit="1" customWidth="1"/>
    <col min="3" max="3" width="14.140625" bestFit="1" customWidth="1"/>
    <col min="4" max="4" width="15" bestFit="1" customWidth="1"/>
    <col min="5" max="5" width="11.5703125" bestFit="1" customWidth="1"/>
    <col min="6" max="6" width="11" bestFit="1" customWidth="1"/>
    <col min="7" max="7" width="12.85546875" style="2" bestFit="1" customWidth="1"/>
    <col min="8" max="8" width="19" bestFit="1" customWidth="1"/>
    <col min="9" max="9" width="14.42578125" bestFit="1" customWidth="1"/>
    <col min="10" max="10" width="20" bestFit="1" customWidth="1"/>
    <col min="11" max="11" width="20" style="8" bestFit="1" customWidth="1"/>
    <col min="12" max="12" width="10.28515625" bestFit="1" customWidth="1"/>
    <col min="13" max="13" width="12.85546875" bestFit="1" customWidth="1"/>
    <col min="14" max="14" width="10.28515625" bestFit="1" customWidth="1"/>
    <col min="15" max="15" width="9.140625" style="6"/>
  </cols>
  <sheetData>
    <row r="1" spans="1:15" x14ac:dyDescent="0.25">
      <c r="A1" t="s">
        <v>0</v>
      </c>
      <c r="B1" t="s">
        <v>1</v>
      </c>
      <c r="C1" t="s">
        <v>2</v>
      </c>
      <c r="D1" t="s">
        <v>3</v>
      </c>
      <c r="E1" t="s">
        <v>4</v>
      </c>
      <c r="F1" t="s">
        <v>5</v>
      </c>
      <c r="G1" s="2" t="s">
        <v>6</v>
      </c>
      <c r="H1" t="s">
        <v>7</v>
      </c>
      <c r="I1" t="s">
        <v>8</v>
      </c>
      <c r="J1" t="s">
        <v>40</v>
      </c>
      <c r="K1" s="8" t="s">
        <v>41</v>
      </c>
      <c r="L1" t="s">
        <v>44</v>
      </c>
      <c r="M1" t="s">
        <v>56</v>
      </c>
      <c r="N1" t="s">
        <v>57</v>
      </c>
      <c r="O1" s="6" t="s">
        <v>58</v>
      </c>
    </row>
    <row r="2" spans="1:15" x14ac:dyDescent="0.25">
      <c r="A2">
        <v>1001</v>
      </c>
      <c r="B2" s="1">
        <v>46235</v>
      </c>
      <c r="C2" t="s">
        <v>9</v>
      </c>
      <c r="D2" t="s">
        <v>10</v>
      </c>
      <c r="E2" t="s">
        <v>11</v>
      </c>
      <c r="F2">
        <v>2</v>
      </c>
      <c r="G2" s="2">
        <v>2500</v>
      </c>
      <c r="H2" t="s">
        <v>12</v>
      </c>
      <c r="I2" t="s">
        <v>13</v>
      </c>
      <c r="J2" t="s">
        <v>10</v>
      </c>
      <c r="K2" s="8" t="s">
        <v>37</v>
      </c>
      <c r="L2" s="5">
        <f>Merge1_1[[#This Row],[Unit_Price]]*Merge1_1[[#This Row],[Quantity]]</f>
        <v>5000</v>
      </c>
      <c r="M2" s="9">
        <f>Merge1_1[[#This Row],[Table (2).Column2]]*Merge1_1[[#This Row],[Quantity]]</f>
        <v>3400</v>
      </c>
      <c r="N2" s="5">
        <f>Merge1_1[[#This Row],[Revenue]]-Merge1_1[[#This Row],[Cost of goods sold]]</f>
        <v>1600</v>
      </c>
      <c r="O2" s="6">
        <f>Merge1_1[[#This Row],[Gross profit]]/Merge1_1[[#This Row],[Revenue]]</f>
        <v>0.32</v>
      </c>
    </row>
    <row r="3" spans="1:15" x14ac:dyDescent="0.25">
      <c r="A3">
        <v>1002</v>
      </c>
      <c r="B3" s="1">
        <v>46235</v>
      </c>
      <c r="C3" t="s">
        <v>14</v>
      </c>
      <c r="D3" t="s">
        <v>15</v>
      </c>
      <c r="E3" t="s">
        <v>11</v>
      </c>
      <c r="F3">
        <v>3</v>
      </c>
      <c r="G3" s="2">
        <v>500</v>
      </c>
      <c r="H3" t="s">
        <v>17</v>
      </c>
      <c r="I3" t="s">
        <v>18</v>
      </c>
      <c r="J3" t="s">
        <v>15</v>
      </c>
      <c r="K3" s="8" t="s">
        <v>38</v>
      </c>
      <c r="L3" s="5">
        <f>Merge1_1[[#This Row],[Unit_Price]]*Merge1_1[[#This Row],[Quantity]]</f>
        <v>1500</v>
      </c>
      <c r="M3" s="9">
        <f>Merge1_1[[#This Row],[Table (2).Column2]]*Merge1_1[[#This Row],[Quantity]]</f>
        <v>750</v>
      </c>
      <c r="N3" s="5">
        <f>Merge1_1[[#This Row],[Revenue]]-Merge1_1[[#This Row],[Cost of goods sold]]</f>
        <v>750</v>
      </c>
      <c r="O3" s="6">
        <f>Merge1_1[[#This Row],[Gross profit]]/Merge1_1[[#This Row],[Revenue]]</f>
        <v>0.5</v>
      </c>
    </row>
    <row r="4" spans="1:15" x14ac:dyDescent="0.25">
      <c r="A4">
        <v>1003</v>
      </c>
      <c r="B4" s="1">
        <v>46236</v>
      </c>
      <c r="C4" t="s">
        <v>19</v>
      </c>
      <c r="D4" t="s">
        <v>10</v>
      </c>
      <c r="E4" t="s">
        <v>11</v>
      </c>
      <c r="F4">
        <v>1</v>
      </c>
      <c r="G4" s="2">
        <v>2500</v>
      </c>
      <c r="H4" t="s">
        <v>17</v>
      </c>
      <c r="I4" t="s">
        <v>13</v>
      </c>
      <c r="J4" t="s">
        <v>10</v>
      </c>
      <c r="K4" s="8" t="s">
        <v>37</v>
      </c>
      <c r="L4" s="5">
        <f>Merge1_1[[#This Row],[Unit_Price]]*Merge1_1[[#This Row],[Quantity]]</f>
        <v>2500</v>
      </c>
      <c r="M4" s="9">
        <f>Merge1_1[[#This Row],[Table (2).Column2]]*Merge1_1[[#This Row],[Quantity]]</f>
        <v>1700</v>
      </c>
      <c r="N4" s="5">
        <f>Merge1_1[[#This Row],[Revenue]]-Merge1_1[[#This Row],[Cost of goods sold]]</f>
        <v>800</v>
      </c>
      <c r="O4" s="6">
        <f>Merge1_1[[#This Row],[Gross profit]]/Merge1_1[[#This Row],[Revenue]]</f>
        <v>0.32</v>
      </c>
    </row>
    <row r="5" spans="1:15" x14ac:dyDescent="0.25">
      <c r="A5">
        <v>1005</v>
      </c>
      <c r="B5" s="1">
        <v>46237</v>
      </c>
      <c r="C5" t="s">
        <v>24</v>
      </c>
      <c r="D5" t="s">
        <v>29</v>
      </c>
      <c r="E5" t="s">
        <v>23</v>
      </c>
      <c r="F5">
        <v>1</v>
      </c>
      <c r="G5" s="2">
        <v>1800</v>
      </c>
      <c r="H5" t="s">
        <v>17</v>
      </c>
      <c r="I5" t="s">
        <v>18</v>
      </c>
      <c r="J5" t="s">
        <v>29</v>
      </c>
      <c r="K5" s="8" t="s">
        <v>36</v>
      </c>
      <c r="L5" s="5">
        <f>Merge1_1[[#This Row],[Unit_Price]]*Merge1_1[[#This Row],[Quantity]]</f>
        <v>1800</v>
      </c>
      <c r="M5" s="9">
        <f>Merge1_1[[#This Row],[Table (2).Column2]]*Merge1_1[[#This Row],[Quantity]]</f>
        <v>1100</v>
      </c>
      <c r="N5" s="5">
        <f>Merge1_1[[#This Row],[Revenue]]-Merge1_1[[#This Row],[Cost of goods sold]]</f>
        <v>700</v>
      </c>
      <c r="O5" s="6">
        <f>Merge1_1[[#This Row],[Gross profit]]/Merge1_1[[#This Row],[Revenue]]</f>
        <v>0.3888888888888889</v>
      </c>
    </row>
    <row r="6" spans="1:15" x14ac:dyDescent="0.25">
      <c r="A6">
        <v>1004</v>
      </c>
      <c r="B6" s="1">
        <v>46237</v>
      </c>
      <c r="C6" t="s">
        <v>21</v>
      </c>
      <c r="D6" t="s">
        <v>22</v>
      </c>
      <c r="E6" t="s">
        <v>23</v>
      </c>
      <c r="F6">
        <v>2</v>
      </c>
      <c r="G6" s="2">
        <v>1200</v>
      </c>
      <c r="H6" t="s">
        <v>12</v>
      </c>
      <c r="I6" t="s">
        <v>13</v>
      </c>
      <c r="J6" t="s">
        <v>22</v>
      </c>
      <c r="K6" s="8" t="s">
        <v>39</v>
      </c>
      <c r="L6" s="5">
        <f>Merge1_1[[#This Row],[Unit_Price]]*Merge1_1[[#This Row],[Quantity]]</f>
        <v>2400</v>
      </c>
      <c r="M6" s="9">
        <f>Merge1_1[[#This Row],[Table (2).Column2]]*Merge1_1[[#This Row],[Quantity]]</f>
        <v>1400</v>
      </c>
      <c r="N6" s="5">
        <f>Merge1_1[[#This Row],[Revenue]]-Merge1_1[[#This Row],[Cost of goods sold]]</f>
        <v>1000</v>
      </c>
      <c r="O6" s="6">
        <f>Merge1_1[[#This Row],[Gross profit]]/Merge1_1[[#This Row],[Revenue]]</f>
        <v>0.41666666666666669</v>
      </c>
    </row>
    <row r="7" spans="1:15" x14ac:dyDescent="0.25">
      <c r="A7">
        <v>1006</v>
      </c>
      <c r="B7" s="1">
        <v>46238</v>
      </c>
      <c r="C7" t="s">
        <v>26</v>
      </c>
      <c r="D7" t="s">
        <v>15</v>
      </c>
      <c r="E7" t="s">
        <v>11</v>
      </c>
      <c r="F7">
        <v>5</v>
      </c>
      <c r="G7" s="2">
        <v>500</v>
      </c>
      <c r="H7" t="s">
        <v>17</v>
      </c>
      <c r="I7" t="s">
        <v>18</v>
      </c>
      <c r="J7" t="s">
        <v>15</v>
      </c>
      <c r="K7" s="8" t="s">
        <v>38</v>
      </c>
      <c r="L7" s="5">
        <f>Merge1_1[[#This Row],[Unit_Price]]*Merge1_1[[#This Row],[Quantity]]</f>
        <v>2500</v>
      </c>
      <c r="M7" s="9">
        <f>Merge1_1[[#This Row],[Table (2).Column2]]*Merge1_1[[#This Row],[Quantity]]</f>
        <v>1250</v>
      </c>
      <c r="N7" s="5">
        <f>Merge1_1[[#This Row],[Revenue]]-Merge1_1[[#This Row],[Cost of goods sold]]</f>
        <v>1250</v>
      </c>
      <c r="O7" s="6">
        <f>Merge1_1[[#This Row],[Gross profit]]/Merge1_1[[#This Row],[Revenue]]</f>
        <v>0.5</v>
      </c>
    </row>
    <row r="8" spans="1:15" x14ac:dyDescent="0.25">
      <c r="A8">
        <v>1007</v>
      </c>
      <c r="B8" s="1">
        <v>46238</v>
      </c>
      <c r="C8" t="s">
        <v>9</v>
      </c>
      <c r="D8" t="s">
        <v>10</v>
      </c>
      <c r="E8" t="s">
        <v>11</v>
      </c>
      <c r="F8">
        <v>2</v>
      </c>
      <c r="G8" s="2">
        <v>2500</v>
      </c>
      <c r="H8" t="s">
        <v>12</v>
      </c>
      <c r="I8" t="s">
        <v>13</v>
      </c>
      <c r="J8" t="s">
        <v>10</v>
      </c>
      <c r="K8" s="8" t="s">
        <v>37</v>
      </c>
      <c r="L8" s="5">
        <f>Merge1_1[[#This Row],[Unit_Price]]*Merge1_1[[#This Row],[Quantity]]</f>
        <v>5000</v>
      </c>
      <c r="M8" s="9">
        <f>Merge1_1[[#This Row],[Table (2).Column2]]*Merge1_1[[#This Row],[Quantity]]</f>
        <v>3400</v>
      </c>
      <c r="N8" s="5">
        <f>Merge1_1[[#This Row],[Revenue]]-Merge1_1[[#This Row],[Cost of goods sold]]</f>
        <v>1600</v>
      </c>
      <c r="O8" s="6">
        <f>Merge1_1[[#This Row],[Gross profit]]/Merge1_1[[#This Row],[Revenue]]</f>
        <v>0.32</v>
      </c>
    </row>
    <row r="9" spans="1:15" x14ac:dyDescent="0.25">
      <c r="A9">
        <v>1008</v>
      </c>
      <c r="B9" s="1">
        <v>46239</v>
      </c>
      <c r="C9" t="s">
        <v>14</v>
      </c>
      <c r="D9" t="s">
        <v>22</v>
      </c>
      <c r="E9" t="s">
        <v>23</v>
      </c>
      <c r="F9">
        <v>1</v>
      </c>
      <c r="G9" s="2">
        <v>1200</v>
      </c>
      <c r="H9" t="s">
        <v>17</v>
      </c>
      <c r="I9" t="s">
        <v>13</v>
      </c>
      <c r="J9" t="s">
        <v>22</v>
      </c>
      <c r="K9" s="8" t="s">
        <v>39</v>
      </c>
      <c r="L9" s="5">
        <f>Merge1_1[[#This Row],[Unit_Price]]*Merge1_1[[#This Row],[Quantity]]</f>
        <v>1200</v>
      </c>
      <c r="M9" s="9">
        <f>Merge1_1[[#This Row],[Table (2).Column2]]*Merge1_1[[#This Row],[Quantity]]</f>
        <v>700</v>
      </c>
      <c r="N9" s="5">
        <f>Merge1_1[[#This Row],[Revenue]]-Merge1_1[[#This Row],[Cost of goods sold]]</f>
        <v>500</v>
      </c>
      <c r="O9" s="6">
        <f>Merge1_1[[#This Row],[Gross profit]]/Merge1_1[[#This Row],[Revenue]]</f>
        <v>0.41666666666666669</v>
      </c>
    </row>
    <row r="10" spans="1:15" x14ac:dyDescent="0.25">
      <c r="A10">
        <v>1009</v>
      </c>
      <c r="B10" s="1">
        <v>46239</v>
      </c>
      <c r="C10" t="s">
        <v>21</v>
      </c>
      <c r="D10" t="s">
        <v>29</v>
      </c>
      <c r="E10" t="s">
        <v>23</v>
      </c>
      <c r="F10">
        <v>2</v>
      </c>
      <c r="G10" s="2">
        <v>1800</v>
      </c>
      <c r="H10" t="s">
        <v>12</v>
      </c>
      <c r="I10" t="s">
        <v>18</v>
      </c>
      <c r="J10" t="s">
        <v>29</v>
      </c>
      <c r="K10" s="8" t="s">
        <v>36</v>
      </c>
      <c r="L10" s="5">
        <f>Merge1_1[[#This Row],[Unit_Price]]*Merge1_1[[#This Row],[Quantity]]</f>
        <v>3600</v>
      </c>
      <c r="M10" s="9">
        <f>Merge1_1[[#This Row],[Table (2).Column2]]*Merge1_1[[#This Row],[Quantity]]</f>
        <v>2200</v>
      </c>
      <c r="N10" s="5">
        <f>Merge1_1[[#This Row],[Revenue]]-Merge1_1[[#This Row],[Cost of goods sold]]</f>
        <v>1400</v>
      </c>
      <c r="O10" s="6">
        <f>Merge1_1[[#This Row],[Gross profit]]/Merge1_1[[#This Row],[Revenue]]</f>
        <v>0.3888888888888889</v>
      </c>
    </row>
    <row r="11" spans="1:15" x14ac:dyDescent="0.25">
      <c r="A11">
        <v>1010</v>
      </c>
      <c r="B11" s="1">
        <v>46240</v>
      </c>
      <c r="C11" t="s">
        <v>24</v>
      </c>
      <c r="D11" t="s">
        <v>15</v>
      </c>
      <c r="E11" t="s">
        <v>11</v>
      </c>
      <c r="F11">
        <v>4</v>
      </c>
      <c r="G11" s="2">
        <v>500</v>
      </c>
      <c r="H11" t="s">
        <v>17</v>
      </c>
      <c r="I11" t="s">
        <v>18</v>
      </c>
      <c r="J11" t="s">
        <v>15</v>
      </c>
      <c r="K11" s="8" t="s">
        <v>38</v>
      </c>
      <c r="L11" s="5">
        <f>Merge1_1[[#This Row],[Unit_Price]]*Merge1_1[[#This Row],[Quantity]]</f>
        <v>2000</v>
      </c>
      <c r="M11" s="9">
        <f>Merge1_1[[#This Row],[Table (2).Column2]]*Merge1_1[[#This Row],[Quantity]]</f>
        <v>1000</v>
      </c>
      <c r="N11" s="5">
        <f>Merge1_1[[#This Row],[Revenue]]-Merge1_1[[#This Row],[Cost of goods sold]]</f>
        <v>1000</v>
      </c>
      <c r="O11" s="6">
        <f>Merge1_1[[#This Row],[Gross profit]]/Merge1_1[[#This Row],[Revenue]]</f>
        <v>0.5</v>
      </c>
    </row>
    <row r="12" spans="1:15" x14ac:dyDescent="0.25">
      <c r="A12">
        <v>1011</v>
      </c>
      <c r="B12" s="1">
        <v>46240</v>
      </c>
      <c r="C12" t="s">
        <v>26</v>
      </c>
      <c r="D12" t="s">
        <v>10</v>
      </c>
      <c r="E12" t="s">
        <v>11</v>
      </c>
      <c r="F12">
        <v>1</v>
      </c>
      <c r="G12" s="2">
        <v>2500</v>
      </c>
      <c r="H12" t="s">
        <v>17</v>
      </c>
      <c r="I12" t="s">
        <v>13</v>
      </c>
      <c r="J12" t="s">
        <v>10</v>
      </c>
      <c r="K12" s="8" t="s">
        <v>37</v>
      </c>
      <c r="L12" s="5">
        <f>Merge1_1[[#This Row],[Unit_Price]]*Merge1_1[[#This Row],[Quantity]]</f>
        <v>2500</v>
      </c>
      <c r="M12" s="9">
        <f>Merge1_1[[#This Row],[Table (2).Column2]]*Merge1_1[[#This Row],[Quantity]]</f>
        <v>1700</v>
      </c>
      <c r="N12" s="5">
        <f>Merge1_1[[#This Row],[Revenue]]-Merge1_1[[#This Row],[Cost of goods sold]]</f>
        <v>800</v>
      </c>
      <c r="O12" s="6">
        <f>Merge1_1[[#This Row],[Gross profit]]/Merge1_1[[#This Row],[Revenue]]</f>
        <v>0.32</v>
      </c>
    </row>
    <row r="13" spans="1:15" x14ac:dyDescent="0.25">
      <c r="A13">
        <v>1012</v>
      </c>
      <c r="B13" s="1">
        <v>46241</v>
      </c>
      <c r="C13" t="s">
        <v>9</v>
      </c>
      <c r="D13" t="s">
        <v>22</v>
      </c>
      <c r="E13" t="s">
        <v>23</v>
      </c>
      <c r="F13">
        <v>2</v>
      </c>
      <c r="G13" s="2">
        <v>1200</v>
      </c>
      <c r="H13" t="s">
        <v>12</v>
      </c>
      <c r="I13" t="s">
        <v>13</v>
      </c>
      <c r="J13" t="s">
        <v>22</v>
      </c>
      <c r="K13" s="8" t="s">
        <v>39</v>
      </c>
      <c r="L13" s="5">
        <f>Merge1_1[[#This Row],[Unit_Price]]*Merge1_1[[#This Row],[Quantity]]</f>
        <v>2400</v>
      </c>
      <c r="M13" s="9">
        <f>Merge1_1[[#This Row],[Table (2).Column2]]*Merge1_1[[#This Row],[Quantity]]</f>
        <v>1400</v>
      </c>
      <c r="N13" s="5">
        <f>Merge1_1[[#This Row],[Revenue]]-Merge1_1[[#This Row],[Cost of goods sold]]</f>
        <v>1000</v>
      </c>
      <c r="O13" s="6">
        <f>Merge1_1[[#This Row],[Gross profit]]/Merge1_1[[#This Row],[Revenue]]</f>
        <v>0.41666666666666669</v>
      </c>
    </row>
    <row r="14" spans="1:15" x14ac:dyDescent="0.25">
      <c r="A14">
        <v>1014</v>
      </c>
      <c r="B14" s="1">
        <v>46242</v>
      </c>
      <c r="C14" t="s">
        <v>21</v>
      </c>
      <c r="D14" t="s">
        <v>15</v>
      </c>
      <c r="E14" t="s">
        <v>11</v>
      </c>
      <c r="F14">
        <v>3</v>
      </c>
      <c r="G14" s="2">
        <v>500</v>
      </c>
      <c r="H14" t="s">
        <v>17</v>
      </c>
      <c r="I14" t="s">
        <v>18</v>
      </c>
      <c r="J14" t="s">
        <v>15</v>
      </c>
      <c r="K14" s="8" t="s">
        <v>38</v>
      </c>
      <c r="L14" s="5">
        <f>Merge1_1[[#This Row],[Unit_Price]]*Merge1_1[[#This Row],[Quantity]]</f>
        <v>1500</v>
      </c>
      <c r="M14" s="9">
        <f>Merge1_1[[#This Row],[Table (2).Column2]]*Merge1_1[[#This Row],[Quantity]]</f>
        <v>750</v>
      </c>
      <c r="N14" s="5">
        <f>Merge1_1[[#This Row],[Revenue]]-Merge1_1[[#This Row],[Cost of goods sold]]</f>
        <v>750</v>
      </c>
      <c r="O14" s="6">
        <f>Merge1_1[[#This Row],[Gross profit]]/Merge1_1[[#This Row],[Revenue]]</f>
        <v>0.5</v>
      </c>
    </row>
    <row r="15" spans="1:15" x14ac:dyDescent="0.25">
      <c r="A15">
        <v>1013</v>
      </c>
      <c r="B15" s="1">
        <v>46242</v>
      </c>
      <c r="C15" t="s">
        <v>14</v>
      </c>
      <c r="D15" t="s">
        <v>29</v>
      </c>
      <c r="E15" t="s">
        <v>23</v>
      </c>
      <c r="F15">
        <v>1</v>
      </c>
      <c r="G15" s="2">
        <v>1800</v>
      </c>
      <c r="H15" t="s">
        <v>17</v>
      </c>
      <c r="I15" t="s">
        <v>18</v>
      </c>
      <c r="J15" t="s">
        <v>29</v>
      </c>
      <c r="K15" s="8" t="s">
        <v>36</v>
      </c>
      <c r="L15" s="5">
        <f>Merge1_1[[#This Row],[Unit_Price]]*Merge1_1[[#This Row],[Quantity]]</f>
        <v>1800</v>
      </c>
      <c r="M15" s="9">
        <f>Merge1_1[[#This Row],[Table (2).Column2]]*Merge1_1[[#This Row],[Quantity]]</f>
        <v>1100</v>
      </c>
      <c r="N15" s="5">
        <f>Merge1_1[[#This Row],[Revenue]]-Merge1_1[[#This Row],[Cost of goods sold]]</f>
        <v>700</v>
      </c>
      <c r="O15" s="6">
        <f>Merge1_1[[#This Row],[Gross profit]]/Merge1_1[[#This Row],[Revenue]]</f>
        <v>0.3888888888888889</v>
      </c>
    </row>
    <row r="16" spans="1:15" x14ac:dyDescent="0.25">
      <c r="A16">
        <v>1015</v>
      </c>
      <c r="B16" s="1">
        <v>46243</v>
      </c>
      <c r="C16" t="s">
        <v>24</v>
      </c>
      <c r="D16" t="s">
        <v>10</v>
      </c>
      <c r="E16" t="s">
        <v>11</v>
      </c>
      <c r="F16">
        <v>2</v>
      </c>
      <c r="G16" s="2">
        <v>2500</v>
      </c>
      <c r="H16" t="s">
        <v>12</v>
      </c>
      <c r="I16" t="s">
        <v>13</v>
      </c>
      <c r="J16" t="s">
        <v>10</v>
      </c>
      <c r="K16" s="8" t="s">
        <v>37</v>
      </c>
      <c r="L16" s="5">
        <f>Merge1_1[[#This Row],[Unit_Price]]*Merge1_1[[#This Row],[Quantity]]</f>
        <v>5000</v>
      </c>
      <c r="M16" s="9">
        <f>Merge1_1[[#This Row],[Table (2).Column2]]*Merge1_1[[#This Row],[Quantity]]</f>
        <v>3400</v>
      </c>
      <c r="N16" s="5">
        <f>Merge1_1[[#This Row],[Revenue]]-Merge1_1[[#This Row],[Cost of goods sold]]</f>
        <v>1600</v>
      </c>
      <c r="O16" s="6">
        <f>Merge1_1[[#This Row],[Gross profit]]/Merge1_1[[#This Row],[Revenue]]</f>
        <v>0.32</v>
      </c>
    </row>
    <row r="17" spans="1:15" x14ac:dyDescent="0.25">
      <c r="A17">
        <v>1016</v>
      </c>
      <c r="B17" s="1">
        <v>46244</v>
      </c>
      <c r="C17" t="s">
        <v>26</v>
      </c>
      <c r="D17" t="s">
        <v>22</v>
      </c>
      <c r="E17" t="s">
        <v>23</v>
      </c>
      <c r="F17">
        <v>1</v>
      </c>
      <c r="G17" s="2">
        <v>1200</v>
      </c>
      <c r="H17" t="s">
        <v>17</v>
      </c>
      <c r="I17" t="s">
        <v>13</v>
      </c>
      <c r="J17" t="s">
        <v>22</v>
      </c>
      <c r="K17" s="8" t="s">
        <v>39</v>
      </c>
      <c r="L17" s="5">
        <f>Merge1_1[[#This Row],[Unit_Price]]*Merge1_1[[#This Row],[Quantity]]</f>
        <v>1200</v>
      </c>
      <c r="M17" s="9">
        <f>Merge1_1[[#This Row],[Table (2).Column2]]*Merge1_1[[#This Row],[Quantity]]</f>
        <v>700</v>
      </c>
      <c r="N17" s="5">
        <f>Merge1_1[[#This Row],[Revenue]]-Merge1_1[[#This Row],[Cost of goods sold]]</f>
        <v>500</v>
      </c>
      <c r="O17" s="6">
        <f>Merge1_1[[#This Row],[Gross profit]]/Merge1_1[[#This Row],[Revenue]]</f>
        <v>0.41666666666666669</v>
      </c>
    </row>
    <row r="18" spans="1:15" x14ac:dyDescent="0.25">
      <c r="A18">
        <v>1017</v>
      </c>
      <c r="B18" s="1">
        <v>46244</v>
      </c>
      <c r="C18" t="s">
        <v>9</v>
      </c>
      <c r="D18" t="s">
        <v>15</v>
      </c>
      <c r="E18" t="s">
        <v>11</v>
      </c>
      <c r="F18">
        <v>6</v>
      </c>
      <c r="G18" s="2">
        <v>500</v>
      </c>
      <c r="H18" t="s">
        <v>12</v>
      </c>
      <c r="I18" t="s">
        <v>18</v>
      </c>
      <c r="J18" t="s">
        <v>15</v>
      </c>
      <c r="K18" s="8" t="s">
        <v>38</v>
      </c>
      <c r="L18" s="5">
        <f>Merge1_1[[#This Row],[Unit_Price]]*Merge1_1[[#This Row],[Quantity]]</f>
        <v>3000</v>
      </c>
      <c r="M18" s="9">
        <f>Merge1_1[[#This Row],[Table (2).Column2]]*Merge1_1[[#This Row],[Quantity]]</f>
        <v>1500</v>
      </c>
      <c r="N18" s="5">
        <f>Merge1_1[[#This Row],[Revenue]]-Merge1_1[[#This Row],[Cost of goods sold]]</f>
        <v>1500</v>
      </c>
      <c r="O18" s="6">
        <f>Merge1_1[[#This Row],[Gross profit]]/Merge1_1[[#This Row],[Revenue]]</f>
        <v>0.5</v>
      </c>
    </row>
    <row r="19" spans="1:15" x14ac:dyDescent="0.25">
      <c r="A19">
        <v>1018</v>
      </c>
      <c r="B19" s="1">
        <v>46245</v>
      </c>
      <c r="C19" t="s">
        <v>14</v>
      </c>
      <c r="D19" t="s">
        <v>10</v>
      </c>
      <c r="E19" t="s">
        <v>11</v>
      </c>
      <c r="F19">
        <v>1</v>
      </c>
      <c r="G19" s="2">
        <v>2500</v>
      </c>
      <c r="H19" t="s">
        <v>17</v>
      </c>
      <c r="I19" t="s">
        <v>13</v>
      </c>
      <c r="J19" t="s">
        <v>10</v>
      </c>
      <c r="K19" s="8" t="s">
        <v>37</v>
      </c>
      <c r="L19" s="5">
        <f>Merge1_1[[#This Row],[Unit_Price]]*Merge1_1[[#This Row],[Quantity]]</f>
        <v>2500</v>
      </c>
      <c r="M19" s="9">
        <f>Merge1_1[[#This Row],[Table (2).Column2]]*Merge1_1[[#This Row],[Quantity]]</f>
        <v>1700</v>
      </c>
      <c r="N19" s="5">
        <f>Merge1_1[[#This Row],[Revenue]]-Merge1_1[[#This Row],[Cost of goods sold]]</f>
        <v>800</v>
      </c>
      <c r="O19" s="6">
        <f>Merge1_1[[#This Row],[Gross profit]]/Merge1_1[[#This Row],[Revenue]]</f>
        <v>0.32</v>
      </c>
    </row>
    <row r="20" spans="1:15" x14ac:dyDescent="0.25">
      <c r="A20">
        <v>1019</v>
      </c>
      <c r="B20" s="1">
        <v>46246</v>
      </c>
      <c r="C20" t="s">
        <v>21</v>
      </c>
      <c r="D20" t="s">
        <v>29</v>
      </c>
      <c r="E20" t="s">
        <v>23</v>
      </c>
      <c r="F20">
        <v>2</v>
      </c>
      <c r="G20" s="2">
        <v>1800</v>
      </c>
      <c r="H20" t="s">
        <v>12</v>
      </c>
      <c r="I20" t="s">
        <v>18</v>
      </c>
      <c r="J20" t="s">
        <v>29</v>
      </c>
      <c r="K20" s="8" t="s">
        <v>36</v>
      </c>
      <c r="L20" s="5">
        <f>Merge1_1[[#This Row],[Unit_Price]]*Merge1_1[[#This Row],[Quantity]]</f>
        <v>3600</v>
      </c>
      <c r="M20" s="9">
        <f>Merge1_1[[#This Row],[Table (2).Column2]]*Merge1_1[[#This Row],[Quantity]]</f>
        <v>2200</v>
      </c>
      <c r="N20" s="5">
        <f>Merge1_1[[#This Row],[Revenue]]-Merge1_1[[#This Row],[Cost of goods sold]]</f>
        <v>1400</v>
      </c>
      <c r="O20" s="6">
        <f>Merge1_1[[#This Row],[Gross profit]]/Merge1_1[[#This Row],[Revenue]]</f>
        <v>0.3888888888888889</v>
      </c>
    </row>
    <row r="21" spans="1:15" x14ac:dyDescent="0.25">
      <c r="A21">
        <v>1020</v>
      </c>
      <c r="B21" s="1">
        <v>46246</v>
      </c>
      <c r="C21" t="s">
        <v>24</v>
      </c>
      <c r="D21" t="s">
        <v>22</v>
      </c>
      <c r="E21" t="s">
        <v>23</v>
      </c>
      <c r="F21">
        <v>3</v>
      </c>
      <c r="G21" s="2">
        <v>1200</v>
      </c>
      <c r="H21" t="s">
        <v>17</v>
      </c>
      <c r="I21" t="s">
        <v>13</v>
      </c>
      <c r="J21" t="s">
        <v>22</v>
      </c>
      <c r="K21" s="8" t="s">
        <v>39</v>
      </c>
      <c r="L21" s="5">
        <f>Merge1_1[[#This Row],[Unit_Price]]*Merge1_1[[#This Row],[Quantity]]</f>
        <v>3600</v>
      </c>
      <c r="M21" s="9">
        <f>Merge1_1[[#This Row],[Table (2).Column2]]*Merge1_1[[#This Row],[Quantity]]</f>
        <v>2100</v>
      </c>
      <c r="N21" s="5">
        <f>Merge1_1[[#This Row],[Revenue]]-Merge1_1[[#This Row],[Cost of goods sold]]</f>
        <v>1500</v>
      </c>
      <c r="O21" s="6">
        <f>Merge1_1[[#This Row],[Gross profit]]/Merge1_1[[#This Row],[Revenue]]</f>
        <v>0.41666666666666669</v>
      </c>
    </row>
    <row r="22" spans="1:15" x14ac:dyDescent="0.25">
      <c r="A22">
        <v>1021</v>
      </c>
      <c r="B22" s="1">
        <v>46247</v>
      </c>
      <c r="C22" t="s">
        <v>26</v>
      </c>
      <c r="D22" t="s">
        <v>15</v>
      </c>
      <c r="E22" t="s">
        <v>11</v>
      </c>
      <c r="F22">
        <v>2</v>
      </c>
      <c r="G22" s="2">
        <v>500</v>
      </c>
      <c r="H22" t="s">
        <v>17</v>
      </c>
      <c r="I22" t="s">
        <v>18</v>
      </c>
      <c r="J22" t="s">
        <v>15</v>
      </c>
      <c r="K22" s="8" t="s">
        <v>38</v>
      </c>
      <c r="L22" s="5">
        <f>Merge1_1[[#This Row],[Unit_Price]]*Merge1_1[[#This Row],[Quantity]]</f>
        <v>1000</v>
      </c>
      <c r="M22" s="9">
        <f>Merge1_1[[#This Row],[Table (2).Column2]]*Merge1_1[[#This Row],[Quantity]]</f>
        <v>500</v>
      </c>
      <c r="N22" s="5">
        <f>Merge1_1[[#This Row],[Revenue]]-Merge1_1[[#This Row],[Cost of goods sold]]</f>
        <v>500</v>
      </c>
      <c r="O22" s="6">
        <f>Merge1_1[[#This Row],[Gross profit]]/Merge1_1[[#This Row],[Revenue]]</f>
        <v>0.5</v>
      </c>
    </row>
    <row r="23" spans="1:15" x14ac:dyDescent="0.25">
      <c r="A23">
        <v>1022</v>
      </c>
      <c r="B23" s="1">
        <v>46248</v>
      </c>
      <c r="C23" t="s">
        <v>9</v>
      </c>
      <c r="D23" t="s">
        <v>10</v>
      </c>
      <c r="E23" t="s">
        <v>11</v>
      </c>
      <c r="F23">
        <v>1</v>
      </c>
      <c r="G23" s="2">
        <v>2500</v>
      </c>
      <c r="H23" t="s">
        <v>12</v>
      </c>
      <c r="I23" t="s">
        <v>13</v>
      </c>
      <c r="J23" t="s">
        <v>10</v>
      </c>
      <c r="K23" s="8" t="s">
        <v>37</v>
      </c>
      <c r="L23" s="5">
        <f>Merge1_1[[#This Row],[Unit_Price]]*Merge1_1[[#This Row],[Quantity]]</f>
        <v>2500</v>
      </c>
      <c r="M23" s="9">
        <f>Merge1_1[[#This Row],[Table (2).Column2]]*Merge1_1[[#This Row],[Quantity]]</f>
        <v>1700</v>
      </c>
      <c r="N23" s="5">
        <f>Merge1_1[[#This Row],[Revenue]]-Merge1_1[[#This Row],[Cost of goods sold]]</f>
        <v>800</v>
      </c>
      <c r="O23" s="6">
        <f>Merge1_1[[#This Row],[Gross profit]]/Merge1_1[[#This Row],[Revenue]]</f>
        <v>0.32</v>
      </c>
    </row>
    <row r="24" spans="1:15" x14ac:dyDescent="0.25">
      <c r="A24">
        <v>1023</v>
      </c>
      <c r="B24" s="1">
        <v>46248</v>
      </c>
      <c r="C24" t="s">
        <v>14</v>
      </c>
      <c r="D24" t="s">
        <v>22</v>
      </c>
      <c r="E24" t="s">
        <v>23</v>
      </c>
      <c r="F24">
        <v>2</v>
      </c>
      <c r="G24" s="2">
        <v>1200</v>
      </c>
      <c r="H24" t="s">
        <v>17</v>
      </c>
      <c r="I24" t="s">
        <v>13</v>
      </c>
      <c r="J24" t="s">
        <v>22</v>
      </c>
      <c r="K24" s="8" t="s">
        <v>39</v>
      </c>
      <c r="L24" s="5">
        <f>Merge1_1[[#This Row],[Unit_Price]]*Merge1_1[[#This Row],[Quantity]]</f>
        <v>2400</v>
      </c>
      <c r="M24" s="9">
        <f>Merge1_1[[#This Row],[Table (2).Column2]]*Merge1_1[[#This Row],[Quantity]]</f>
        <v>1400</v>
      </c>
      <c r="N24" s="5">
        <f>Merge1_1[[#This Row],[Revenue]]-Merge1_1[[#This Row],[Cost of goods sold]]</f>
        <v>1000</v>
      </c>
      <c r="O24" s="6">
        <f>Merge1_1[[#This Row],[Gross profit]]/Merge1_1[[#This Row],[Revenue]]</f>
        <v>0.41666666666666669</v>
      </c>
    </row>
    <row r="25" spans="1:15" x14ac:dyDescent="0.25">
      <c r="A25">
        <v>1024</v>
      </c>
      <c r="B25" s="1">
        <v>46249</v>
      </c>
      <c r="C25" t="s">
        <v>21</v>
      </c>
      <c r="D25" t="s">
        <v>29</v>
      </c>
      <c r="E25" t="s">
        <v>23</v>
      </c>
      <c r="F25">
        <v>1</v>
      </c>
      <c r="G25" s="2">
        <v>1800</v>
      </c>
      <c r="H25" t="s">
        <v>12</v>
      </c>
      <c r="I25" t="s">
        <v>18</v>
      </c>
      <c r="J25" t="s">
        <v>29</v>
      </c>
      <c r="K25" s="8" t="s">
        <v>36</v>
      </c>
      <c r="L25" s="5">
        <f>Merge1_1[[#This Row],[Unit_Price]]*Merge1_1[[#This Row],[Quantity]]</f>
        <v>1800</v>
      </c>
      <c r="M25" s="9">
        <f>Merge1_1[[#This Row],[Table (2).Column2]]*Merge1_1[[#This Row],[Quantity]]</f>
        <v>1100</v>
      </c>
      <c r="N25" s="5">
        <f>Merge1_1[[#This Row],[Revenue]]-Merge1_1[[#This Row],[Cost of goods sold]]</f>
        <v>700</v>
      </c>
      <c r="O25" s="6">
        <f>Merge1_1[[#This Row],[Gross profit]]/Merge1_1[[#This Row],[Revenue]]</f>
        <v>0.3888888888888889</v>
      </c>
    </row>
    <row r="26" spans="1:15" x14ac:dyDescent="0.25">
      <c r="A26">
        <v>1025</v>
      </c>
      <c r="B26" s="1">
        <v>46249</v>
      </c>
      <c r="C26" t="s">
        <v>24</v>
      </c>
      <c r="D26" t="s">
        <v>15</v>
      </c>
      <c r="E26" t="s">
        <v>11</v>
      </c>
      <c r="F26">
        <v>5</v>
      </c>
      <c r="G26" s="2">
        <v>500</v>
      </c>
      <c r="H26" t="s">
        <v>17</v>
      </c>
      <c r="I26" t="s">
        <v>18</v>
      </c>
      <c r="J26" t="s">
        <v>15</v>
      </c>
      <c r="K26" s="8" t="s">
        <v>38</v>
      </c>
      <c r="L26" s="5">
        <f>Merge1_1[[#This Row],[Unit_Price]]*Merge1_1[[#This Row],[Quantity]]</f>
        <v>2500</v>
      </c>
      <c r="M26" s="9">
        <f>Merge1_1[[#This Row],[Table (2).Column2]]*Merge1_1[[#This Row],[Quantity]]</f>
        <v>1250</v>
      </c>
      <c r="N26" s="5">
        <f>Merge1_1[[#This Row],[Revenue]]-Merge1_1[[#This Row],[Cost of goods sold]]</f>
        <v>1250</v>
      </c>
      <c r="O26" s="6">
        <f>Merge1_1[[#This Row],[Gross profit]]/Merge1_1[[#This Row],[Revenue]]</f>
        <v>0.5</v>
      </c>
    </row>
    <row r="27" spans="1:15" x14ac:dyDescent="0.25">
      <c r="A27">
        <v>1026</v>
      </c>
      <c r="B27" s="1">
        <v>46250</v>
      </c>
      <c r="C27" t="s">
        <v>52</v>
      </c>
      <c r="D27" t="s">
        <v>15</v>
      </c>
      <c r="E27" t="s">
        <v>11</v>
      </c>
      <c r="F27">
        <v>4</v>
      </c>
      <c r="G27" s="2">
        <v>500</v>
      </c>
      <c r="H27" t="s">
        <v>17</v>
      </c>
      <c r="I27" t="s">
        <v>18</v>
      </c>
      <c r="J27" t="s">
        <v>15</v>
      </c>
      <c r="K27" s="8" t="s">
        <v>38</v>
      </c>
      <c r="L27" s="5">
        <f>Merge1_1[[#This Row],[Unit_Price]]*Merge1_1[[#This Row],[Quantity]]</f>
        <v>2000</v>
      </c>
      <c r="M27" s="9">
        <f>Merge1_1[[#This Row],[Table (2).Column2]]*Merge1_1[[#This Row],[Quantity]]</f>
        <v>1000</v>
      </c>
      <c r="N27" s="5">
        <f>Merge1_1[[#This Row],[Revenue]]-Merge1_1[[#This Row],[Cost of goods sold]]</f>
        <v>1000</v>
      </c>
      <c r="O27" s="6">
        <f>Merge1_1[[#This Row],[Gross profit]]/Merge1_1[[#This Row],[Revenue]]</f>
        <v>0.5</v>
      </c>
    </row>
    <row r="28" spans="1:15" x14ac:dyDescent="0.25">
      <c r="A28">
        <v>1027</v>
      </c>
      <c r="B28" s="1">
        <v>46250</v>
      </c>
      <c r="C28" t="s">
        <v>54</v>
      </c>
      <c r="D28" t="s">
        <v>10</v>
      </c>
      <c r="E28" t="s">
        <v>11</v>
      </c>
      <c r="F28">
        <v>1</v>
      </c>
      <c r="G28" s="2">
        <v>2500</v>
      </c>
      <c r="H28" t="s">
        <v>12</v>
      </c>
      <c r="I28" t="s">
        <v>13</v>
      </c>
      <c r="J28" t="s">
        <v>10</v>
      </c>
      <c r="K28" s="8" t="s">
        <v>37</v>
      </c>
      <c r="L28" s="5">
        <f>Merge1_1[[#This Row],[Unit_Price]]*Merge1_1[[#This Row],[Quantity]]</f>
        <v>2500</v>
      </c>
      <c r="M28" s="9">
        <f>Merge1_1[[#This Row],[Table (2).Column2]]*Merge1_1[[#This Row],[Quantity]]</f>
        <v>1700</v>
      </c>
      <c r="N28" s="5">
        <f>Merge1_1[[#This Row],[Revenue]]-Merge1_1[[#This Row],[Cost of goods sold]]</f>
        <v>800</v>
      </c>
      <c r="O28" s="6">
        <f>Merge1_1[[#This Row],[Gross profit]]/Merge1_1[[#This Row],[Revenue]]</f>
        <v>0.32</v>
      </c>
    </row>
    <row r="29" spans="1:15" x14ac:dyDescent="0.25">
      <c r="A29">
        <v>1029</v>
      </c>
      <c r="B29" s="1">
        <v>46251</v>
      </c>
      <c r="C29" t="s">
        <v>24</v>
      </c>
      <c r="D29" t="s">
        <v>29</v>
      </c>
      <c r="E29" t="s">
        <v>23</v>
      </c>
      <c r="F29">
        <v>3</v>
      </c>
      <c r="G29" s="2">
        <v>1800</v>
      </c>
      <c r="H29" t="s">
        <v>12</v>
      </c>
      <c r="I29" t="s">
        <v>18</v>
      </c>
      <c r="J29" t="s">
        <v>29</v>
      </c>
      <c r="K29" s="8" t="s">
        <v>36</v>
      </c>
      <c r="L29" s="5">
        <f>Merge1_1[[#This Row],[Unit_Price]]*Merge1_1[[#This Row],[Quantity]]</f>
        <v>5400</v>
      </c>
      <c r="M29" s="9">
        <f>Merge1_1[[#This Row],[Table (2).Column2]]*Merge1_1[[#This Row],[Quantity]]</f>
        <v>3300</v>
      </c>
      <c r="N29" s="5">
        <f>Merge1_1[[#This Row],[Revenue]]-Merge1_1[[#This Row],[Cost of goods sold]]</f>
        <v>2100</v>
      </c>
      <c r="O29" s="6">
        <f>Merge1_1[[#This Row],[Gross profit]]/Merge1_1[[#This Row],[Revenue]]</f>
        <v>0.3888888888888889</v>
      </c>
    </row>
    <row r="30" spans="1:15" x14ac:dyDescent="0.25">
      <c r="A30">
        <v>1028</v>
      </c>
      <c r="B30" s="1">
        <v>46251</v>
      </c>
      <c r="C30" t="s">
        <v>21</v>
      </c>
      <c r="D30" t="s">
        <v>22</v>
      </c>
      <c r="E30" t="s">
        <v>23</v>
      </c>
      <c r="F30">
        <v>2</v>
      </c>
      <c r="G30" s="2">
        <v>1200</v>
      </c>
      <c r="H30" t="s">
        <v>17</v>
      </c>
      <c r="I30" t="s">
        <v>13</v>
      </c>
      <c r="J30" t="s">
        <v>22</v>
      </c>
      <c r="K30" s="8" t="s">
        <v>39</v>
      </c>
      <c r="L30" s="5">
        <f>Merge1_1[[#This Row],[Unit_Price]]*Merge1_1[[#This Row],[Quantity]]</f>
        <v>2400</v>
      </c>
      <c r="M30" s="9">
        <f>Merge1_1[[#This Row],[Table (2).Column2]]*Merge1_1[[#This Row],[Quantity]]</f>
        <v>1400</v>
      </c>
      <c r="N30" s="5">
        <f>Merge1_1[[#This Row],[Revenue]]-Merge1_1[[#This Row],[Cost of goods sold]]</f>
        <v>1000</v>
      </c>
      <c r="O30" s="6">
        <f>Merge1_1[[#This Row],[Gross profit]]/Merge1_1[[#This Row],[Revenue]]</f>
        <v>0.41666666666666669</v>
      </c>
    </row>
    <row r="31" spans="1:15" x14ac:dyDescent="0.25">
      <c r="A31">
        <v>1030</v>
      </c>
      <c r="B31" s="1">
        <v>46252</v>
      </c>
      <c r="C31" t="s">
        <v>52</v>
      </c>
      <c r="D31" t="s">
        <v>15</v>
      </c>
      <c r="E31" t="s">
        <v>11</v>
      </c>
      <c r="F31">
        <v>5</v>
      </c>
      <c r="G31" s="2">
        <v>500</v>
      </c>
      <c r="H31" t="s">
        <v>17</v>
      </c>
      <c r="I31" t="s">
        <v>18</v>
      </c>
      <c r="J31" t="s">
        <v>15</v>
      </c>
      <c r="K31" s="8" t="s">
        <v>38</v>
      </c>
      <c r="L31" s="5">
        <f>Merge1_1[[#This Row],[Unit_Price]]*Merge1_1[[#This Row],[Quantity]]</f>
        <v>2500</v>
      </c>
      <c r="M31" s="9">
        <f>Merge1_1[[#This Row],[Table (2).Column2]]*Merge1_1[[#This Row],[Quantity]]</f>
        <v>1250</v>
      </c>
      <c r="N31" s="5">
        <f>Merge1_1[[#This Row],[Revenue]]-Merge1_1[[#This Row],[Cost of goods sold]]</f>
        <v>1250</v>
      </c>
      <c r="O31" s="6">
        <f>Merge1_1[[#This Row],[Gross profit]]/Merge1_1[[#This Row],[Revenue]]</f>
        <v>0.5</v>
      </c>
    </row>
    <row r="32" spans="1:15" x14ac:dyDescent="0.25">
      <c r="A32">
        <v>1031</v>
      </c>
      <c r="B32" s="1">
        <v>46252</v>
      </c>
      <c r="C32" t="s">
        <v>54</v>
      </c>
      <c r="D32" t="s">
        <v>10</v>
      </c>
      <c r="E32" t="s">
        <v>11</v>
      </c>
      <c r="F32">
        <v>2</v>
      </c>
      <c r="G32" s="2">
        <v>2500</v>
      </c>
      <c r="H32" t="s">
        <v>12</v>
      </c>
      <c r="I32" t="s">
        <v>13</v>
      </c>
      <c r="J32" t="s">
        <v>10</v>
      </c>
      <c r="K32" s="8" t="s">
        <v>37</v>
      </c>
      <c r="L32" s="5">
        <f>Merge1_1[[#This Row],[Unit_Price]]*Merge1_1[[#This Row],[Quantity]]</f>
        <v>5000</v>
      </c>
      <c r="M32" s="9">
        <f>Merge1_1[[#This Row],[Table (2).Column2]]*Merge1_1[[#This Row],[Quantity]]</f>
        <v>3400</v>
      </c>
      <c r="N32" s="5">
        <f>Merge1_1[[#This Row],[Revenue]]-Merge1_1[[#This Row],[Cost of goods sold]]</f>
        <v>1600</v>
      </c>
      <c r="O32" s="6">
        <f>Merge1_1[[#This Row],[Gross profit]]/Merge1_1[[#This Row],[Revenue]]</f>
        <v>0.32</v>
      </c>
    </row>
    <row r="33" spans="1:15" x14ac:dyDescent="0.25">
      <c r="A33">
        <v>1032</v>
      </c>
      <c r="B33" s="1">
        <v>46253</v>
      </c>
      <c r="C33" t="s">
        <v>26</v>
      </c>
      <c r="D33" t="s">
        <v>22</v>
      </c>
      <c r="E33" t="s">
        <v>23</v>
      </c>
      <c r="F33">
        <v>1</v>
      </c>
      <c r="G33" s="2">
        <v>1200</v>
      </c>
      <c r="H33" t="s">
        <v>17</v>
      </c>
      <c r="I33" t="s">
        <v>13</v>
      </c>
      <c r="J33" t="s">
        <v>22</v>
      </c>
      <c r="K33" s="8" t="s">
        <v>39</v>
      </c>
      <c r="L33" s="5">
        <f>Merge1_1[[#This Row],[Unit_Price]]*Merge1_1[[#This Row],[Quantity]]</f>
        <v>1200</v>
      </c>
      <c r="M33" s="9">
        <f>Merge1_1[[#This Row],[Table (2).Column2]]*Merge1_1[[#This Row],[Quantity]]</f>
        <v>700</v>
      </c>
      <c r="N33" s="5">
        <f>Merge1_1[[#This Row],[Revenue]]-Merge1_1[[#This Row],[Cost of goods sold]]</f>
        <v>500</v>
      </c>
      <c r="O33" s="6">
        <f>Merge1_1[[#This Row],[Gross profit]]/Merge1_1[[#This Row],[Revenue]]</f>
        <v>0.41666666666666669</v>
      </c>
    </row>
    <row r="34" spans="1:15" x14ac:dyDescent="0.25">
      <c r="A34">
        <v>1033</v>
      </c>
      <c r="B34" s="1">
        <v>46253</v>
      </c>
      <c r="C34" t="s">
        <v>14</v>
      </c>
      <c r="D34" t="s">
        <v>15</v>
      </c>
      <c r="E34" t="s">
        <v>11</v>
      </c>
      <c r="F34">
        <v>7</v>
      </c>
      <c r="G34" s="2">
        <v>500</v>
      </c>
      <c r="H34" t="s">
        <v>17</v>
      </c>
      <c r="I34" t="s">
        <v>18</v>
      </c>
      <c r="J34" t="s">
        <v>15</v>
      </c>
      <c r="K34" s="8" t="s">
        <v>38</v>
      </c>
      <c r="L34" s="5">
        <f>Merge1_1[[#This Row],[Unit_Price]]*Merge1_1[[#This Row],[Quantity]]</f>
        <v>3500</v>
      </c>
      <c r="M34" s="9">
        <f>Merge1_1[[#This Row],[Table (2).Column2]]*Merge1_1[[#This Row],[Quantity]]</f>
        <v>1750</v>
      </c>
      <c r="N34" s="5">
        <f>Merge1_1[[#This Row],[Revenue]]-Merge1_1[[#This Row],[Cost of goods sold]]</f>
        <v>1750</v>
      </c>
      <c r="O34" s="6">
        <f>Merge1_1[[#This Row],[Gross profit]]/Merge1_1[[#This Row],[Revenue]]</f>
        <v>0.5</v>
      </c>
    </row>
    <row r="35" spans="1:15" x14ac:dyDescent="0.25">
      <c r="A35">
        <v>1034</v>
      </c>
      <c r="B35" s="1">
        <v>46254</v>
      </c>
      <c r="C35" t="s">
        <v>21</v>
      </c>
      <c r="D35" t="s">
        <v>29</v>
      </c>
      <c r="E35" t="s">
        <v>23</v>
      </c>
      <c r="F35">
        <v>1</v>
      </c>
      <c r="G35" s="2">
        <v>1800</v>
      </c>
      <c r="H35" t="s">
        <v>12</v>
      </c>
      <c r="I35" t="s">
        <v>18</v>
      </c>
      <c r="J35" t="s">
        <v>29</v>
      </c>
      <c r="K35" s="8" t="s">
        <v>36</v>
      </c>
      <c r="L35" s="5">
        <f>Merge1_1[[#This Row],[Unit_Price]]*Merge1_1[[#This Row],[Quantity]]</f>
        <v>1800</v>
      </c>
      <c r="M35" s="9">
        <f>Merge1_1[[#This Row],[Table (2).Column2]]*Merge1_1[[#This Row],[Quantity]]</f>
        <v>1100</v>
      </c>
      <c r="N35" s="5">
        <f>Merge1_1[[#This Row],[Revenue]]-Merge1_1[[#This Row],[Cost of goods sold]]</f>
        <v>700</v>
      </c>
      <c r="O35" s="6">
        <f>Merge1_1[[#This Row],[Gross profit]]/Merge1_1[[#This Row],[Revenue]]</f>
        <v>0.3888888888888889</v>
      </c>
    </row>
    <row r="36" spans="1:15" x14ac:dyDescent="0.25">
      <c r="A36">
        <v>1035</v>
      </c>
      <c r="B36" s="1">
        <v>46254</v>
      </c>
      <c r="C36" t="s">
        <v>24</v>
      </c>
      <c r="D36" t="s">
        <v>10</v>
      </c>
      <c r="E36" t="s">
        <v>11</v>
      </c>
      <c r="F36">
        <v>2</v>
      </c>
      <c r="G36" s="2">
        <v>2500</v>
      </c>
      <c r="H36" t="s">
        <v>17</v>
      </c>
      <c r="I36" t="s">
        <v>13</v>
      </c>
      <c r="J36" t="s">
        <v>10</v>
      </c>
      <c r="K36" s="8" t="s">
        <v>37</v>
      </c>
      <c r="L36" s="5">
        <f>Merge1_1[[#This Row],[Unit_Price]]*Merge1_1[[#This Row],[Quantity]]</f>
        <v>5000</v>
      </c>
      <c r="M36" s="9">
        <f>Merge1_1[[#This Row],[Table (2).Column2]]*Merge1_1[[#This Row],[Quantity]]</f>
        <v>3400</v>
      </c>
      <c r="N36" s="5">
        <f>Merge1_1[[#This Row],[Revenue]]-Merge1_1[[#This Row],[Cost of goods sold]]</f>
        <v>1600</v>
      </c>
      <c r="O36" s="6">
        <f>Merge1_1[[#This Row],[Gross profit]]/Merge1_1[[#This Row],[Revenue]]</f>
        <v>0.32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261D6-AB00-43E7-8B02-9A6248586DAD}">
  <dimension ref="A1:E9"/>
  <sheetViews>
    <sheetView zoomScale="106" zoomScaleNormal="106" workbookViewId="0">
      <selection activeCell="A6" sqref="A6:M6"/>
    </sheetView>
  </sheetViews>
  <sheetFormatPr defaultRowHeight="15" x14ac:dyDescent="0.25"/>
  <cols>
    <col min="1" max="1" width="13.42578125" bestFit="1" customWidth="1"/>
    <col min="2" max="2" width="15.5703125" bestFit="1" customWidth="1"/>
    <col min="3" max="3" width="15.85546875" bestFit="1" customWidth="1"/>
    <col min="4" max="4" width="18.7109375" bestFit="1" customWidth="1"/>
    <col min="5" max="5" width="17" style="10" bestFit="1" customWidth="1"/>
  </cols>
  <sheetData>
    <row r="1" spans="1:5" x14ac:dyDescent="0.25">
      <c r="A1" s="3" t="s">
        <v>32</v>
      </c>
      <c r="B1" t="s">
        <v>34</v>
      </c>
      <c r="C1" t="s">
        <v>46</v>
      </c>
      <c r="D1" t="s">
        <v>59</v>
      </c>
      <c r="E1" s="10" t="s">
        <v>58</v>
      </c>
    </row>
    <row r="2" spans="1:5" x14ac:dyDescent="0.25">
      <c r="A2" s="4" t="s">
        <v>18</v>
      </c>
      <c r="B2">
        <v>55</v>
      </c>
      <c r="C2" s="5">
        <v>41800</v>
      </c>
      <c r="D2" s="5">
        <v>18700</v>
      </c>
      <c r="E2" s="10">
        <f>GETPIVOTDATA("Sum of Gross profit",$A$1,"Salesperson","Jane")/GETPIVOTDATA("Sum of Revenue",$A$1,"Salesperson","Jane")</f>
        <v>0.44736842105263158</v>
      </c>
    </row>
    <row r="3" spans="1:5" x14ac:dyDescent="0.25">
      <c r="A3" s="4" t="s">
        <v>13</v>
      </c>
      <c r="B3">
        <v>29</v>
      </c>
      <c r="C3" s="5">
        <v>54300</v>
      </c>
      <c r="D3" s="5">
        <v>19000</v>
      </c>
      <c r="E3" s="10">
        <f>GETPIVOTDATA("Sum of Gross profit",$A$1,"Salesperson","Peter")/GETPIVOTDATA("Sum of Revenue",$A$1,"Salesperson","Peter")</f>
        <v>0.34990791896869244</v>
      </c>
    </row>
    <row r="4" spans="1:5" x14ac:dyDescent="0.25">
      <c r="A4" s="4" t="s">
        <v>33</v>
      </c>
      <c r="B4">
        <v>84</v>
      </c>
      <c r="C4" s="5">
        <v>96100</v>
      </c>
      <c r="D4" s="5">
        <v>37700</v>
      </c>
    </row>
    <row r="6" spans="1:5" x14ac:dyDescent="0.25">
      <c r="A6" t="s">
        <v>60</v>
      </c>
      <c r="E6"/>
    </row>
    <row r="7" spans="1:5" x14ac:dyDescent="0.25">
      <c r="E7"/>
    </row>
    <row r="8" spans="1:5" x14ac:dyDescent="0.25">
      <c r="A8" t="s">
        <v>61</v>
      </c>
      <c r="E8"/>
    </row>
    <row r="9" spans="1:5" x14ac:dyDescent="0.25">
      <c r="E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365A6-52EF-483F-83D0-FDB92B5ED460}">
  <dimension ref="B1:O55"/>
  <sheetViews>
    <sheetView tabSelected="1" workbookViewId="0">
      <selection activeCell="B36" sqref="B36"/>
    </sheetView>
  </sheetViews>
  <sheetFormatPr defaultRowHeight="15" x14ac:dyDescent="0.25"/>
  <cols>
    <col min="2" max="2" width="13.42578125" bestFit="1" customWidth="1"/>
    <col min="3" max="3" width="15.85546875" bestFit="1" customWidth="1"/>
    <col min="4" max="4" width="18.7109375" bestFit="1" customWidth="1"/>
    <col min="5" max="5" width="9.5703125" customWidth="1"/>
  </cols>
  <sheetData>
    <row r="1" spans="2:15" x14ac:dyDescent="0.25">
      <c r="E1" s="13" t="s">
        <v>71</v>
      </c>
      <c r="F1" s="14"/>
      <c r="G1" s="14"/>
      <c r="H1" s="14"/>
      <c r="I1" s="14"/>
      <c r="J1" s="14"/>
      <c r="K1" s="14"/>
      <c r="L1" s="14"/>
      <c r="M1" s="14"/>
      <c r="N1" s="14"/>
      <c r="O1" s="14"/>
    </row>
    <row r="2" spans="2:15" x14ac:dyDescent="0.25">
      <c r="E2" s="14"/>
      <c r="F2" s="14"/>
      <c r="G2" s="14"/>
      <c r="H2" s="14"/>
      <c r="I2" s="14"/>
      <c r="J2" s="14"/>
      <c r="K2" s="14"/>
      <c r="L2" s="14"/>
      <c r="M2" s="14"/>
      <c r="N2" s="14"/>
      <c r="O2" s="14"/>
    </row>
    <row r="3" spans="2:15" x14ac:dyDescent="0.25">
      <c r="E3" s="14"/>
      <c r="F3" s="14"/>
      <c r="G3" s="14"/>
      <c r="H3" s="14"/>
      <c r="I3" s="14"/>
      <c r="J3" s="14"/>
      <c r="K3" s="14"/>
      <c r="L3" s="14"/>
      <c r="M3" s="14"/>
      <c r="N3" s="14"/>
      <c r="O3" s="14"/>
    </row>
    <row r="5" spans="2:15" x14ac:dyDescent="0.25">
      <c r="B5" t="s">
        <v>62</v>
      </c>
    </row>
    <row r="7" spans="2:15" ht="18.75" x14ac:dyDescent="0.3">
      <c r="B7" s="17" t="s">
        <v>63</v>
      </c>
    </row>
    <row r="8" spans="2:15" x14ac:dyDescent="0.25">
      <c r="B8" s="11">
        <v>96100</v>
      </c>
    </row>
    <row r="10" spans="2:15" ht="18.75" x14ac:dyDescent="0.3">
      <c r="B10" s="17" t="s">
        <v>64</v>
      </c>
    </row>
    <row r="11" spans="2:15" x14ac:dyDescent="0.25">
      <c r="B11" s="11">
        <v>37700</v>
      </c>
    </row>
    <row r="13" spans="2:15" ht="18.75" x14ac:dyDescent="0.3">
      <c r="B13" s="17" t="s">
        <v>65</v>
      </c>
    </row>
    <row r="14" spans="2:15" x14ac:dyDescent="0.25">
      <c r="B14" t="s">
        <v>68</v>
      </c>
    </row>
    <row r="16" spans="2:15" ht="18.75" x14ac:dyDescent="0.3">
      <c r="B16" s="17" t="s">
        <v>66</v>
      </c>
    </row>
    <row r="17" spans="2:4" x14ac:dyDescent="0.25">
      <c r="B17" t="s">
        <v>67</v>
      </c>
    </row>
    <row r="19" spans="2:4" ht="18.75" x14ac:dyDescent="0.3">
      <c r="B19" s="17" t="s">
        <v>72</v>
      </c>
    </row>
    <row r="21" spans="2:4" x14ac:dyDescent="0.25">
      <c r="B21" s="3" t="s">
        <v>32</v>
      </c>
      <c r="C21" t="s">
        <v>46</v>
      </c>
      <c r="D21" t="s">
        <v>59</v>
      </c>
    </row>
    <row r="22" spans="2:4" x14ac:dyDescent="0.25">
      <c r="B22" s="4" t="s">
        <v>29</v>
      </c>
      <c r="C22" s="5">
        <v>19800</v>
      </c>
      <c r="D22" s="5">
        <v>7700</v>
      </c>
    </row>
    <row r="23" spans="2:4" x14ac:dyDescent="0.25">
      <c r="B23" s="4" t="s">
        <v>10</v>
      </c>
      <c r="C23" s="5">
        <v>37500</v>
      </c>
      <c r="D23" s="5">
        <v>12000</v>
      </c>
    </row>
    <row r="24" spans="2:4" x14ac:dyDescent="0.25">
      <c r="B24" s="4" t="s">
        <v>15</v>
      </c>
      <c r="C24" s="5">
        <v>22000</v>
      </c>
      <c r="D24" s="5">
        <v>11000</v>
      </c>
    </row>
    <row r="25" spans="2:4" x14ac:dyDescent="0.25">
      <c r="B25" s="4" t="s">
        <v>22</v>
      </c>
      <c r="C25" s="5">
        <v>16800</v>
      </c>
      <c r="D25" s="5">
        <v>7000</v>
      </c>
    </row>
    <row r="26" spans="2:4" x14ac:dyDescent="0.25">
      <c r="B26" s="4" t="s">
        <v>33</v>
      </c>
      <c r="C26" s="5">
        <v>96100</v>
      </c>
      <c r="D26" s="5">
        <v>37700</v>
      </c>
    </row>
    <row r="36" spans="2:4" ht="18.75" x14ac:dyDescent="0.3">
      <c r="B36" s="17" t="s">
        <v>73</v>
      </c>
    </row>
    <row r="38" spans="2:4" x14ac:dyDescent="0.25">
      <c r="B38" s="3" t="s">
        <v>32</v>
      </c>
      <c r="C38" t="s">
        <v>46</v>
      </c>
      <c r="D38" t="s">
        <v>59</v>
      </c>
    </row>
    <row r="39" spans="2:4" x14ac:dyDescent="0.25">
      <c r="B39" s="4" t="s">
        <v>18</v>
      </c>
      <c r="C39" s="5">
        <v>41800</v>
      </c>
      <c r="D39" s="5">
        <v>18700</v>
      </c>
    </row>
    <row r="40" spans="2:4" x14ac:dyDescent="0.25">
      <c r="B40" s="4" t="s">
        <v>13</v>
      </c>
      <c r="C40" s="5">
        <v>54300</v>
      </c>
      <c r="D40" s="5">
        <v>19000</v>
      </c>
    </row>
    <row r="41" spans="2:4" x14ac:dyDescent="0.25">
      <c r="B41" s="4" t="s">
        <v>33</v>
      </c>
      <c r="C41" s="5">
        <v>96100</v>
      </c>
      <c r="D41" s="5">
        <v>37700</v>
      </c>
    </row>
    <row r="51" spans="2:2" x14ac:dyDescent="0.25">
      <c r="B51" s="12" t="s">
        <v>69</v>
      </c>
    </row>
    <row r="52" spans="2:2" x14ac:dyDescent="0.25">
      <c r="B52" t="s">
        <v>61</v>
      </c>
    </row>
    <row r="54" spans="2:2" x14ac:dyDescent="0.25">
      <c r="B54" s="12" t="s">
        <v>70</v>
      </c>
    </row>
    <row r="55" spans="2:2" x14ac:dyDescent="0.25">
      <c r="B55" t="s">
        <v>60</v>
      </c>
    </row>
  </sheetData>
  <mergeCells count="1">
    <mergeCell ref="E1:O3"/>
  </mergeCells>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1D1298-5A24-4678-8B3D-5FE109B7CC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raw_data</vt:lpstr>
      <vt:lpstr>clear data</vt:lpstr>
      <vt:lpstr>pivot_table</vt:lpstr>
      <vt:lpstr>merged column</vt:lpstr>
      <vt:lpstr>product_cost</vt:lpstr>
      <vt:lpstr>raw_data 2</vt:lpstr>
      <vt:lpstr>Table (3)</vt:lpstr>
      <vt:lpstr>Append1</vt:lpstr>
      <vt:lpstr>cleaned_data</vt:lpstr>
      <vt:lpstr>analysis</vt:lpstr>
      <vt:lpstr>Final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G</dc:creator>
  <cp:lastModifiedBy>Brian G</cp:lastModifiedBy>
  <dcterms:created xsi:type="dcterms:W3CDTF">2026-08-15T23:29:53Z</dcterms:created>
  <dcterms:modified xsi:type="dcterms:W3CDTF">2026-08-17T11:23:08Z</dcterms:modified>
</cp:coreProperties>
</file>